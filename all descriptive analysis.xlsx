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SHAR\Desktop\data prac\"/>
    </mc:Choice>
  </mc:AlternateContent>
  <xr:revisionPtr revIDLastSave="0" documentId="13_ncr:1_{C587C981-BBDE-4959-9916-881677BD00FF}" xr6:coauthVersionLast="47" xr6:coauthVersionMax="47" xr10:uidLastSave="{00000000-0000-0000-0000-000000000000}"/>
  <bookViews>
    <workbookView xWindow="-120" yWindow="-120" windowWidth="29040" windowHeight="15840" activeTab="5" xr2:uid="{03E43F0D-F947-F64B-9D7E-764189E7D68D}"/>
  </bookViews>
  <sheets>
    <sheet name="Data" sheetId="1" r:id="rId1"/>
    <sheet name="Sheet2" sheetId="9" r:id="rId2"/>
    <sheet name="ANOVA" sheetId="10" r:id="rId3"/>
    <sheet name="correlation" sheetId="11" r:id="rId4"/>
    <sheet name="pivot table" sheetId="13" r:id="rId5"/>
    <sheet name="pivot table chart" sheetId="15" r:id="rId6"/>
    <sheet name="dashboard" sheetId="14" r:id="rId7"/>
    <sheet name="Linear regression" sheetId="12" r:id="rId8"/>
    <sheet name="t-test" sheetId="8" r:id="rId9"/>
    <sheet name="Descriptive" sheetId="7" r:id="rId10"/>
  </sheets>
  <externalReferences>
    <externalReference r:id="rId11"/>
    <externalReference r:id="rId12"/>
    <externalReference r:id="rId13"/>
  </externalReferences>
  <definedNames>
    <definedName name="_xlchart.v1.0" hidden="1">Sheet2!$A$1</definedName>
    <definedName name="_xlchart.v1.1" hidden="1">Sheet2!$A$2:$A$101</definedName>
    <definedName name="_xlchart.v1.10" hidden="1">'t-test'!$B$1</definedName>
    <definedName name="_xlchart.v1.11" hidden="1">'t-test'!$B$2:$B$101</definedName>
    <definedName name="_xlchart.v1.2" hidden="1">Sheet2!$B$1</definedName>
    <definedName name="_xlchart.v1.3" hidden="1">Sheet2!$B$2:$B$101</definedName>
    <definedName name="_xlchart.v1.4" hidden="1">ANOVA!$B$1</definedName>
    <definedName name="_xlchart.v1.5" hidden="1">ANOVA!$B$2:$B$101</definedName>
    <definedName name="_xlchart.v1.6" hidden="1">correlation!$A$1</definedName>
    <definedName name="_xlchart.v1.7" hidden="1">correlation!$A$2:$A$101</definedName>
    <definedName name="_xlchart.v1.8" hidden="1">correlation!$B$1</definedName>
    <definedName name="_xlchart.v1.9" hidden="1">correlation!$B$2:$B$101</definedName>
  </definedNames>
  <calcPr calcId="191029"/>
  <pivotCaches>
    <pivotCache cacheId="0" r:id="rId14"/>
    <pivotCache cacheId="1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2" l="1"/>
  <c r="W25" i="12"/>
  <c r="S25" i="12"/>
  <c r="O25" i="12"/>
  <c r="W24" i="12"/>
  <c r="S24" i="12"/>
  <c r="O24" i="12"/>
  <c r="C1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1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1" i="12"/>
  <c r="Q26" i="10"/>
  <c r="Q25" i="10"/>
  <c r="Q24" i="10"/>
  <c r="Q23" i="10"/>
  <c r="L24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P21" i="11" s="1"/>
  <c r="P23" i="11" s="1"/>
  <c r="P25" i="11" s="1"/>
  <c r="P19" i="11" s="1"/>
  <c r="B2" i="11"/>
  <c r="B1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" i="11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1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" i="10"/>
  <c r="B1" i="8" a="1"/>
  <c r="B1" i="8" s="1"/>
  <c r="A1" i="8" a="1"/>
  <c r="A1" i="8" s="1"/>
  <c r="A101" i="7"/>
  <c r="B101" i="7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B1" i="7"/>
  <c r="A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<sst xmlns="http://schemas.openxmlformats.org/spreadsheetml/2006/main" count="1068" uniqueCount="147">
  <si>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</si>
  <si>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</si>
  <si>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</si>
  <si>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</si>
  <si>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</si>
  <si>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</si>
  <si>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</si>
  <si>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</si>
  <si>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</si>
  <si>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</si>
  <si>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</si>
  <si>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</si>
  <si>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</si>
  <si>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</si>
  <si>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</si>
  <si>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</si>
  <si>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</si>
  <si>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</si>
  <si>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</si>
  <si>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</si>
  <si>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</si>
  <si>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</si>
  <si>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</si>
  <si>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</si>
  <si>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</si>
  <si>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</si>
  <si>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</si>
  <si>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</si>
  <si>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</si>
  <si>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</si>
  <si>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</si>
  <si>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</si>
  <si>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</si>
  <si>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</si>
  <si>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</si>
  <si>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</si>
  <si>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</si>
  <si>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</si>
  <si>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</si>
  <si>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</si>
  <si>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</si>
  <si>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</si>
  <si>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</si>
  <si>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</si>
  <si>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</si>
  <si>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</si>
  <si>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</si>
  <si>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</si>
  <si>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</si>
  <si>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</si>
  <si>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</si>
  <si>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</si>
  <si>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</si>
  <si>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</si>
  <si>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</si>
  <si>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</si>
  <si>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</si>
  <si>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</si>
  <si>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</si>
  <si>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</si>
  <si>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</si>
  <si>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</si>
  <si>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</si>
  <si>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Is there any significant difference in average profit margin between male and female customers?</t>
  </si>
  <si>
    <t>Sig level: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</si>
  <si>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</si>
  <si>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</si>
  <si>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</si>
  <si>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</si>
  <si>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</si>
  <si>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</si>
  <si>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</si>
  <si>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</si>
  <si>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</si>
  <si>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</si>
  <si>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</si>
  <si>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 is 0.96 higher than 0.05 the null hypo is accepted and alternative is rejected; there is no significance difference</t>
  </si>
  <si>
    <t>This Year PM</t>
  </si>
  <si>
    <t>Previous Year PM</t>
  </si>
  <si>
    <t>Question</t>
  </si>
  <si>
    <t>Is there any significant difference in the average profit margin between this year and previous year ?</t>
  </si>
  <si>
    <t>Sig Level</t>
  </si>
  <si>
    <t>t-Test: Paired Two Sample for Means</t>
  </si>
  <si>
    <t>Pearson Correlation</t>
  </si>
  <si>
    <t>P is Lower than Sig level; the rejecting Null hypo, accepting alternative hypo; there is a significant difference</t>
  </si>
  <si>
    <t>Is there any sig difference among the major region?</t>
  </si>
  <si>
    <t>Row Labels</t>
  </si>
  <si>
    <t>Grand Total</t>
  </si>
  <si>
    <t>Count of Region</t>
  </si>
  <si>
    <t>EAST</t>
  </si>
  <si>
    <t>NORTH</t>
  </si>
  <si>
    <t>SOUTH</t>
  </si>
  <si>
    <t>WEST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</si>
  <si>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</si>
  <si>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</si>
  <si>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</si>
  <si>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</si>
  <si>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</si>
  <si>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</si>
  <si>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</si>
  <si>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</si>
  <si>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</si>
  <si>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</si>
  <si>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</si>
  <si>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</si>
  <si>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</si>
  <si>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</si>
  <si>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Is there any significant differences between the variable</t>
  </si>
  <si>
    <t>Correlation (r)</t>
  </si>
  <si>
    <t>P value =</t>
  </si>
  <si>
    <t>t</t>
  </si>
  <si>
    <t>P value</t>
  </si>
  <si>
    <t xml:space="preserve"> There is  a significant differences</t>
  </si>
  <si>
    <t>Average Sale</t>
  </si>
  <si>
    <t>Is there a any significant influnces of sales and quantity sold on profit margin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</si>
  <si>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</si>
  <si>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</si>
  <si>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</si>
  <si>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</si>
  <si>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</si>
  <si>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</si>
  <si>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</si>
  <si>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</si>
  <si>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</si>
  <si>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</si>
  <si>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</si>
  <si>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</si>
  <si>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90.0%</t>
  </si>
  <si>
    <t>Upper 90.0%</t>
  </si>
  <si>
    <t>+</t>
  </si>
  <si>
    <t>=</t>
  </si>
  <si>
    <t>*</t>
  </si>
  <si>
    <t>Qs</t>
  </si>
  <si>
    <t>Sig level</t>
  </si>
  <si>
    <t>Find the average discount rate, profit margin for each product</t>
  </si>
  <si>
    <t>Column Labels</t>
  </si>
  <si>
    <t>Values</t>
  </si>
  <si>
    <t>Find the average sale, and quantity sold by region for each category</t>
  </si>
  <si>
    <t>Sum of Sales</t>
  </si>
  <si>
    <t>Average of Sales</t>
  </si>
  <si>
    <t>Average of Quantity Sold</t>
  </si>
  <si>
    <t>Find the total number of product sold from each product category to different customer segment</t>
  </si>
  <si>
    <t>Count of Customer_Segment</t>
  </si>
  <si>
    <t>Find the total amount of revenue generated from each product category to different customer segments</t>
  </si>
  <si>
    <t>Discount_Rate</t>
  </si>
  <si>
    <t>Profit_Margin</t>
  </si>
  <si>
    <t>Find the average sale, and quantity sold by region for each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</si>
</sst>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2" fontId="4" fillId="0" borderId="3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2" fontId="5" fillId="0" borderId="3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10" fontId="0" fillId="0" borderId="0" xfId="0" applyNumberFormat="1"/>
    <xf numFmtId="10" fontId="1" fillId="0" borderId="0" xfId="0" applyNumberFormat="1" applyFont="1"/>
    <xf numFmtId="9" fontId="0" fillId="0" borderId="0" xfId="0" applyNumberFormat="1"/>
    <xf numFmtId="10" fontId="0" fillId="0" borderId="0" xfId="0" applyNumberFormat="1" applyFill="1" applyBorder="1" applyAlignment="1"/>
    <xf numFmtId="2" fontId="0" fillId="2" borderId="0" xfId="0" applyNumberFormat="1" applyFill="1" applyBorder="1" applyAlignment="1"/>
    <xf numFmtId="9" fontId="0" fillId="2" borderId="0" xfId="0" applyNumberFormat="1" applyFill="1" applyBorder="1" applyAlignment="1"/>
    <xf numFmtId="2" fontId="0" fillId="3" borderId="0" xfId="0" applyNumberFormat="1" applyFill="1" applyBorder="1" applyAlignment="1"/>
    <xf numFmtId="9" fontId="1" fillId="0" borderId="0" xfId="0" applyNumberFormat="1" applyFont="1"/>
    <xf numFmtId="2" fontId="0" fillId="4" borderId="0" xfId="0" applyNumberFormat="1" applyFill="1" applyBorder="1" applyAlignment="1"/>
    <xf numFmtId="9" fontId="0" fillId="3" borderId="0" xfId="0" applyNumberForma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4" fillId="4" borderId="3" xfId="0" applyNumberFormat="1" applyFont="1" applyFill="1" applyBorder="1" applyAlignment="1">
      <alignment horizontal="center"/>
    </xf>
    <xf numFmtId="2" fontId="0" fillId="4" borderId="2" xfId="0" applyNumberFormat="1" applyFill="1" applyBorder="1" applyAlignment="1"/>
    <xf numFmtId="2" fontId="0" fillId="3" borderId="2" xfId="0" applyNumberFormat="1" applyFill="1" applyBorder="1" applyAlignment="1"/>
    <xf numFmtId="0" fontId="0" fillId="3" borderId="0" xfId="0" applyFill="1"/>
    <xf numFmtId="2" fontId="4" fillId="0" borderId="3" xfId="0" applyNumberFormat="1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0" fontId="0" fillId="0" borderId="2" xfId="0" applyNumberFormat="1" applyFill="1" applyBorder="1" applyAlignment="1"/>
    <xf numFmtId="9" fontId="0" fillId="0" borderId="0" xfId="0" applyNumberFormat="1" applyAlignment="1">
      <alignment horizontal="left"/>
    </xf>
    <xf numFmtId="9" fontId="0" fillId="0" borderId="0" xfId="0" pivotButton="1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indent="1"/>
    </xf>
  </cellXfs>
  <cellStyles count="2">
    <cellStyle name="Normal" xfId="0" builtinId="0"/>
    <cellStyle name="Percent" xfId="1" builtinId="5"/>
  </cellStyles>
  <dxfs count="68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ANOVA!$P$23:$P$26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ANOVA!$Q$23:$Q$26</c:f>
              <c:numCache>
                <c:formatCode>0.00</c:formatCode>
                <c:ptCount val="4"/>
                <c:pt idx="0">
                  <c:v>498.11574694489644</c:v>
                </c:pt>
                <c:pt idx="1">
                  <c:v>525.21461415683314</c:v>
                </c:pt>
                <c:pt idx="2">
                  <c:v>553.21694939210101</c:v>
                </c:pt>
                <c:pt idx="3">
                  <c:v>568.19740715141052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F-4FD4-B5EB-A315984BB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52527"/>
        <c:axId val="605892047"/>
      </c:barChart>
      <c:catAx>
        <c:axId val="6058525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605892047"/>
        <c:crosses val="autoZero"/>
        <c:auto val="1"/>
        <c:lblAlgn val="ctr"/>
        <c:lblOffset val="100"/>
        <c:noMultiLvlLbl val="0"/>
      </c:catAx>
      <c:valAx>
        <c:axId val="6058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60585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Minimal</a:t>
            </a:r>
            <a:r>
              <a:rPr lang="en-US" baseline="0"/>
              <a:t> Positive Skewed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correlation!$A$2:$A$101</c:f>
              <c:numCache>
                <c:formatCode>0</c:formatCode>
                <c:ptCount val="100"/>
                <c:pt idx="0">
                  <c:v>36.148044477110183</c:v>
                </c:pt>
                <c:pt idx="1">
                  <c:v>22.67066139610537</c:v>
                </c:pt>
                <c:pt idx="2">
                  <c:v>25.659829377999021</c:v>
                </c:pt>
                <c:pt idx="3">
                  <c:v>22.71292327512996</c:v>
                </c:pt>
                <c:pt idx="4">
                  <c:v>22.17917729923893</c:v>
                </c:pt>
                <c:pt idx="5">
                  <c:v>32.112950746165673</c:v>
                </c:pt>
                <c:pt idx="6">
                  <c:v>34.168209673514582</c:v>
                </c:pt>
                <c:pt idx="7">
                  <c:v>32.509503541037532</c:v>
                </c:pt>
                <c:pt idx="8">
                  <c:v>28.966599379394442</c:v>
                </c:pt>
                <c:pt idx="9">
                  <c:v>22.800456610910508</c:v>
                </c:pt>
                <c:pt idx="10">
                  <c:v>37.920198615682011</c:v>
                </c:pt>
                <c:pt idx="11">
                  <c:v>34.168209673514582</c:v>
                </c:pt>
                <c:pt idx="12">
                  <c:v>34.509555299643331</c:v>
                </c:pt>
                <c:pt idx="13">
                  <c:v>34.233542912614041</c:v>
                </c:pt>
                <c:pt idx="14">
                  <c:v>38.91018632957595</c:v>
                </c:pt>
                <c:pt idx="15">
                  <c:v>42.863547025446572</c:v>
                </c:pt>
                <c:pt idx="16">
                  <c:v>34.481965046749572</c:v>
                </c:pt>
                <c:pt idx="17">
                  <c:v>19.701526021482589</c:v>
                </c:pt>
                <c:pt idx="18">
                  <c:v>30.21220372182901</c:v>
                </c:pt>
                <c:pt idx="19">
                  <c:v>42.328424856528947</c:v>
                </c:pt>
                <c:pt idx="20">
                  <c:v>25.761026144140789</c:v>
                </c:pt>
                <c:pt idx="21">
                  <c:v>32.124851019620138</c:v>
                </c:pt>
                <c:pt idx="22">
                  <c:v>42.450393069510469</c:v>
                </c:pt>
                <c:pt idx="23">
                  <c:v>27.640040591643441</c:v>
                </c:pt>
                <c:pt idx="24">
                  <c:v>23.1050477214369</c:v>
                </c:pt>
                <c:pt idx="25">
                  <c:v>25.06958002405791</c:v>
                </c:pt>
                <c:pt idx="26">
                  <c:v>37.446775253972348</c:v>
                </c:pt>
                <c:pt idx="27">
                  <c:v>34.093862468973867</c:v>
                </c:pt>
                <c:pt idx="28">
                  <c:v>31.988254494707039</c:v>
                </c:pt>
                <c:pt idx="29">
                  <c:v>25.403001481665331</c:v>
                </c:pt>
                <c:pt idx="30">
                  <c:v>42.957474570995288</c:v>
                </c:pt>
                <c:pt idx="31">
                  <c:v>32.509503541037532</c:v>
                </c:pt>
                <c:pt idx="32">
                  <c:v>37.920198615682011</c:v>
                </c:pt>
                <c:pt idx="33">
                  <c:v>23.33189768406957</c:v>
                </c:pt>
                <c:pt idx="34">
                  <c:v>28.213310860324128</c:v>
                </c:pt>
                <c:pt idx="35">
                  <c:v>29.54505596450246</c:v>
                </c:pt>
                <c:pt idx="36">
                  <c:v>42.450393069510469</c:v>
                </c:pt>
                <c:pt idx="37">
                  <c:v>36.148044477110183</c:v>
                </c:pt>
                <c:pt idx="38">
                  <c:v>35.14527034142445</c:v>
                </c:pt>
                <c:pt idx="39">
                  <c:v>36.462644721053408</c:v>
                </c:pt>
                <c:pt idx="40">
                  <c:v>42.957474570995288</c:v>
                </c:pt>
                <c:pt idx="41">
                  <c:v>28.856357791851678</c:v>
                </c:pt>
                <c:pt idx="42">
                  <c:v>26.96311664321771</c:v>
                </c:pt>
                <c:pt idx="43">
                  <c:v>24.258495432968651</c:v>
                </c:pt>
                <c:pt idx="44">
                  <c:v>30.21220372182901</c:v>
                </c:pt>
                <c:pt idx="45">
                  <c:v>32.640044751077639</c:v>
                </c:pt>
                <c:pt idx="46">
                  <c:v>30.116527726833709</c:v>
                </c:pt>
                <c:pt idx="47">
                  <c:v>36.329472046171738</c:v>
                </c:pt>
                <c:pt idx="48">
                  <c:v>33.488511070211693</c:v>
                </c:pt>
                <c:pt idx="49">
                  <c:v>22.67066139610537</c:v>
                </c:pt>
                <c:pt idx="50">
                  <c:v>42.450393069510469</c:v>
                </c:pt>
                <c:pt idx="51">
                  <c:v>26.6797836620513</c:v>
                </c:pt>
                <c:pt idx="52">
                  <c:v>37.510906147376723</c:v>
                </c:pt>
                <c:pt idx="53">
                  <c:v>21.014939592383691</c:v>
                </c:pt>
                <c:pt idx="54">
                  <c:v>25.659829377999021</c:v>
                </c:pt>
                <c:pt idx="55">
                  <c:v>42.819613509869228</c:v>
                </c:pt>
                <c:pt idx="56">
                  <c:v>28.213310860324128</c:v>
                </c:pt>
                <c:pt idx="57">
                  <c:v>28.856357791851678</c:v>
                </c:pt>
                <c:pt idx="58">
                  <c:v>32.509503541037532</c:v>
                </c:pt>
                <c:pt idx="59">
                  <c:v>36.13905882520546</c:v>
                </c:pt>
                <c:pt idx="60">
                  <c:v>42.863547025446572</c:v>
                </c:pt>
                <c:pt idx="61">
                  <c:v>34.543963455210843</c:v>
                </c:pt>
                <c:pt idx="62">
                  <c:v>20.833658043879868</c:v>
                </c:pt>
                <c:pt idx="63">
                  <c:v>21.014939592383691</c:v>
                </c:pt>
                <c:pt idx="64">
                  <c:v>25.369547601790899</c:v>
                </c:pt>
                <c:pt idx="65">
                  <c:v>37.510906147376723</c:v>
                </c:pt>
                <c:pt idx="66">
                  <c:v>35.629086509343651</c:v>
                </c:pt>
                <c:pt idx="67">
                  <c:v>35.349709305309297</c:v>
                </c:pt>
                <c:pt idx="68">
                  <c:v>33.594994608612112</c:v>
                </c:pt>
                <c:pt idx="69">
                  <c:v>21.830429874465541</c:v>
                </c:pt>
                <c:pt idx="70">
                  <c:v>31.780339128994552</c:v>
                </c:pt>
                <c:pt idx="71">
                  <c:v>29.002436397815529</c:v>
                </c:pt>
                <c:pt idx="72">
                  <c:v>32.124851019620138</c:v>
                </c:pt>
                <c:pt idx="73">
                  <c:v>39.870098609562831</c:v>
                </c:pt>
                <c:pt idx="74">
                  <c:v>28.61134162948003</c:v>
                </c:pt>
                <c:pt idx="75">
                  <c:v>22.71292327512996</c:v>
                </c:pt>
                <c:pt idx="76">
                  <c:v>21.380953935177011</c:v>
                </c:pt>
                <c:pt idx="77">
                  <c:v>42.328424856528947</c:v>
                </c:pt>
                <c:pt idx="78">
                  <c:v>28.856357791851678</c:v>
                </c:pt>
                <c:pt idx="79">
                  <c:v>35.712204079351267</c:v>
                </c:pt>
                <c:pt idx="80">
                  <c:v>22.71292327512996</c:v>
                </c:pt>
                <c:pt idx="81">
                  <c:v>42.863547025446572</c:v>
                </c:pt>
                <c:pt idx="82">
                  <c:v>34.233542912614041</c:v>
                </c:pt>
                <c:pt idx="83">
                  <c:v>41.422284810995777</c:v>
                </c:pt>
                <c:pt idx="84">
                  <c:v>35.14527034142445</c:v>
                </c:pt>
                <c:pt idx="85">
                  <c:v>34.233542912614041</c:v>
                </c:pt>
                <c:pt idx="86">
                  <c:v>34.509555299643331</c:v>
                </c:pt>
                <c:pt idx="87">
                  <c:v>34.093862468973867</c:v>
                </c:pt>
                <c:pt idx="88">
                  <c:v>21.380953935177011</c:v>
                </c:pt>
                <c:pt idx="89">
                  <c:v>27.242540128268349</c:v>
                </c:pt>
                <c:pt idx="90">
                  <c:v>39.870098609562831</c:v>
                </c:pt>
                <c:pt idx="91">
                  <c:v>32.124851019620138</c:v>
                </c:pt>
                <c:pt idx="92">
                  <c:v>21.380953935177011</c:v>
                </c:pt>
                <c:pt idx="93">
                  <c:v>28.61134162948003</c:v>
                </c:pt>
                <c:pt idx="94">
                  <c:v>37.920198615682011</c:v>
                </c:pt>
                <c:pt idx="95">
                  <c:v>15.177312318503819</c:v>
                </c:pt>
                <c:pt idx="96">
                  <c:v>36.040297721835898</c:v>
                </c:pt>
                <c:pt idx="97">
                  <c:v>24.86722617036456</c:v>
                </c:pt>
                <c:pt idx="98">
                  <c:v>25.659829377999021</c:v>
                </c:pt>
                <c:pt idx="99">
                  <c:v>36.13905882520546</c:v>
                </c:pt>
              </c:numCache>
            </c:numRef>
          </c:xVal>
          <c:yVal>
            <c:numRef>
              <c:f>correlation!$B$2:$B$101</c:f>
              <c:numCache>
                <c:formatCode>0.00</c:formatCode>
                <c:ptCount val="100"/>
                <c:pt idx="0">
                  <c:v>619.41733832886609</c:v>
                </c:pt>
                <c:pt idx="1">
                  <c:v>886.1339798802187</c:v>
                </c:pt>
                <c:pt idx="2">
                  <c:v>449.13093283360729</c:v>
                </c:pt>
                <c:pt idx="3">
                  <c:v>610.02358125508351</c:v>
                </c:pt>
                <c:pt idx="4">
                  <c:v>364.7761269469521</c:v>
                </c:pt>
                <c:pt idx="5">
                  <c:v>576.61392133806294</c:v>
                </c:pt>
                <c:pt idx="6">
                  <c:v>449.13093283360729</c:v>
                </c:pt>
                <c:pt idx="7">
                  <c:v>372.90517238163818</c:v>
                </c:pt>
                <c:pt idx="8">
                  <c:v>545.77266574920179</c:v>
                </c:pt>
                <c:pt idx="9">
                  <c:v>413.90524534251369</c:v>
                </c:pt>
                <c:pt idx="10">
                  <c:v>600.05114910613997</c:v>
                </c:pt>
                <c:pt idx="11">
                  <c:v>726.81693567394757</c:v>
                </c:pt>
                <c:pt idx="12">
                  <c:v>491.90097738880718</c:v>
                </c:pt>
                <c:pt idx="13">
                  <c:v>497.81317760107709</c:v>
                </c:pt>
                <c:pt idx="14">
                  <c:v>734.54360210915809</c:v>
                </c:pt>
                <c:pt idx="15">
                  <c:v>610.02358125508351</c:v>
                </c:pt>
                <c:pt idx="16">
                  <c:v>614.24978057956264</c:v>
                </c:pt>
                <c:pt idx="17">
                  <c:v>291.05760965024848</c:v>
                </c:pt>
                <c:pt idx="18">
                  <c:v>696.81069761586082</c:v>
                </c:pt>
                <c:pt idx="19">
                  <c:v>551.57500310812304</c:v>
                </c:pt>
                <c:pt idx="20">
                  <c:v>495.58882510192927</c:v>
                </c:pt>
                <c:pt idx="21">
                  <c:v>252.880529766411</c:v>
                </c:pt>
                <c:pt idx="22">
                  <c:v>294.05947140624812</c:v>
                </c:pt>
                <c:pt idx="23">
                  <c:v>521.92242249612491</c:v>
                </c:pt>
                <c:pt idx="24">
                  <c:v>415.68001582094871</c:v>
                </c:pt>
                <c:pt idx="25">
                  <c:v>463.17255028533771</c:v>
                </c:pt>
                <c:pt idx="26">
                  <c:v>720.91010268149512</c:v>
                </c:pt>
                <c:pt idx="27">
                  <c:v>830.13369852249514</c:v>
                </c:pt>
                <c:pt idx="28">
                  <c:v>573.45234536559701</c:v>
                </c:pt>
                <c:pt idx="29">
                  <c:v>473.55217273725202</c:v>
                </c:pt>
                <c:pt idx="30">
                  <c:v>545.77266574920179</c:v>
                </c:pt>
                <c:pt idx="31">
                  <c:v>375.22752388249648</c:v>
                </c:pt>
                <c:pt idx="32">
                  <c:v>610.02358125508351</c:v>
                </c:pt>
                <c:pt idx="33">
                  <c:v>830.13369852249514</c:v>
                </c:pt>
                <c:pt idx="34">
                  <c:v>307.91532286630729</c:v>
                </c:pt>
                <c:pt idx="35">
                  <c:v>557.79180936942089</c:v>
                </c:pt>
                <c:pt idx="36">
                  <c:v>449.13093283360729</c:v>
                </c:pt>
                <c:pt idx="37">
                  <c:v>734.54360210915809</c:v>
                </c:pt>
                <c:pt idx="38">
                  <c:v>252.880529766411</c:v>
                </c:pt>
                <c:pt idx="39">
                  <c:v>708.1677590396705</c:v>
                </c:pt>
                <c:pt idx="40">
                  <c:v>447.27848635895299</c:v>
                </c:pt>
                <c:pt idx="41">
                  <c:v>890.46319359814106</c:v>
                </c:pt>
                <c:pt idx="42">
                  <c:v>503.2671201808941</c:v>
                </c:pt>
                <c:pt idx="43">
                  <c:v>421.88563910474119</c:v>
                </c:pt>
                <c:pt idx="44">
                  <c:v>291.05760965024848</c:v>
                </c:pt>
                <c:pt idx="45">
                  <c:v>596.96015524763516</c:v>
                </c:pt>
                <c:pt idx="46">
                  <c:v>559.97758335747517</c:v>
                </c:pt>
                <c:pt idx="47">
                  <c:v>696.81069761586082</c:v>
                </c:pt>
                <c:pt idx="48">
                  <c:v>606.72437794032601</c:v>
                </c:pt>
                <c:pt idx="49">
                  <c:v>484.28885475832197</c:v>
                </c:pt>
                <c:pt idx="50">
                  <c:v>504.65458741369969</c:v>
                </c:pt>
                <c:pt idx="51">
                  <c:v>496.06702576891882</c:v>
                </c:pt>
                <c:pt idx="52">
                  <c:v>569.036813905543</c:v>
                </c:pt>
                <c:pt idx="53">
                  <c:v>523.01127462814736</c:v>
                </c:pt>
                <c:pt idx="54">
                  <c:v>438.67524693903368</c:v>
                </c:pt>
                <c:pt idx="55">
                  <c:v>830.13369852249514</c:v>
                </c:pt>
                <c:pt idx="56">
                  <c:v>497.81317760107709</c:v>
                </c:pt>
                <c:pt idx="57">
                  <c:v>375.22752388249648</c:v>
                </c:pt>
                <c:pt idx="58">
                  <c:v>523.01127462814736</c:v>
                </c:pt>
                <c:pt idx="59">
                  <c:v>504.65458741369969</c:v>
                </c:pt>
                <c:pt idx="60">
                  <c:v>319.56344705841639</c:v>
                </c:pt>
                <c:pt idx="61">
                  <c:v>619.41733832886609</c:v>
                </c:pt>
                <c:pt idx="62">
                  <c:v>305.47024795509333</c:v>
                </c:pt>
                <c:pt idx="63">
                  <c:v>521.92242249612491</c:v>
                </c:pt>
                <c:pt idx="64">
                  <c:v>473.37922936466907</c:v>
                </c:pt>
                <c:pt idx="65">
                  <c:v>619.41733832886609</c:v>
                </c:pt>
                <c:pt idx="66">
                  <c:v>659.36358432663053</c:v>
                </c:pt>
                <c:pt idx="67">
                  <c:v>648.04278931605404</c:v>
                </c:pt>
                <c:pt idx="68">
                  <c:v>608.0353746788893</c:v>
                </c:pt>
                <c:pt idx="69">
                  <c:v>362.0806959925111</c:v>
                </c:pt>
                <c:pt idx="70">
                  <c:v>573.24211385453748</c:v>
                </c:pt>
                <c:pt idx="71">
                  <c:v>551.57500310812304</c:v>
                </c:pt>
                <c:pt idx="72">
                  <c:v>581.24124671152902</c:v>
                </c:pt>
                <c:pt idx="73">
                  <c:v>551.57500310812304</c:v>
                </c:pt>
                <c:pt idx="74">
                  <c:v>545.77266574920179</c:v>
                </c:pt>
                <c:pt idx="75">
                  <c:v>403.40831801853841</c:v>
                </c:pt>
                <c:pt idx="76">
                  <c:v>886.1339798802187</c:v>
                </c:pt>
                <c:pt idx="77">
                  <c:v>726.81693567394757</c:v>
                </c:pt>
                <c:pt idx="78">
                  <c:v>886.1339798802187</c:v>
                </c:pt>
                <c:pt idx="79">
                  <c:v>664.15565877204904</c:v>
                </c:pt>
                <c:pt idx="80">
                  <c:v>558.42480133446179</c:v>
                </c:pt>
                <c:pt idx="81">
                  <c:v>569.036813905543</c:v>
                </c:pt>
                <c:pt idx="82">
                  <c:v>252.880529766411</c:v>
                </c:pt>
                <c:pt idx="83">
                  <c:v>773.23782906934002</c:v>
                </c:pt>
                <c:pt idx="84">
                  <c:v>817.8805740858752</c:v>
                </c:pt>
                <c:pt idx="85">
                  <c:v>603.45495957616026</c:v>
                </c:pt>
                <c:pt idx="86">
                  <c:v>518.08895796790466</c:v>
                </c:pt>
                <c:pt idx="87">
                  <c:v>307.91532286630729</c:v>
                </c:pt>
                <c:pt idx="88">
                  <c:v>375.22752388249648</c:v>
                </c:pt>
                <c:pt idx="89">
                  <c:v>519.22626043512992</c:v>
                </c:pt>
                <c:pt idx="90">
                  <c:v>291.05760965024848</c:v>
                </c:pt>
                <c:pt idx="91">
                  <c:v>389.38710677341862</c:v>
                </c:pt>
                <c:pt idx="92">
                  <c:v>454.85168594785551</c:v>
                </c:pt>
                <c:pt idx="93">
                  <c:v>521.92242249612491</c:v>
                </c:pt>
                <c:pt idx="94">
                  <c:v>518.08895796790466</c:v>
                </c:pt>
                <c:pt idx="95">
                  <c:v>167.05152762488819</c:v>
                </c:pt>
                <c:pt idx="96">
                  <c:v>734.54360210915809</c:v>
                </c:pt>
                <c:pt idx="97">
                  <c:v>447.27848635895299</c:v>
                </c:pt>
                <c:pt idx="98">
                  <c:v>504.65458741369969</c:v>
                </c:pt>
                <c:pt idx="99">
                  <c:v>419.38042762271778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B-4A67-B038-AEB8EE51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57519"/>
        <c:axId val="605853359"/>
      </c:scatterChart>
      <c:valAx>
        <c:axId val="60585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605853359"/>
        <c:crosses val="autoZero"/>
        <c:crossBetween val="midCat"/>
      </c:valAx>
      <c:valAx>
        <c:axId val="60585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605857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 descriptive analysis.xlsx]pivot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DR</a:t>
            </a:r>
            <a:r>
              <a:rPr lang="en-US" b="1" baseline="0"/>
              <a:t> and PM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Beauty &amp; Health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table'!$B$5:$B$6</c:f>
              <c:strCache>
                <c:ptCount val="2"/>
                <c:pt idx="0">
                  <c:v>Profit_Margin</c:v>
                </c:pt>
                <c:pt idx="1">
                  <c:v>Discount_Rate</c:v>
                </c:pt>
              </c:strCache>
            </c:strRef>
          </c:cat>
          <c:val>
            <c:numRef>
              <c:f>'pivot table'!$C$5:$C$6</c:f>
              <c:numCache>
                <c:formatCode>0%</c:formatCode>
                <c:ptCount val="2"/>
                <c:pt idx="0">
                  <c:v>0.30463161165920072</c:v>
                </c:pt>
                <c:pt idx="1">
                  <c:v>0.19793081050589195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8-4F25-851D-51D242FE0D2C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table'!$B$5:$B$6</c:f>
              <c:strCache>
                <c:ptCount val="2"/>
                <c:pt idx="0">
                  <c:v>Profit_Margin</c:v>
                </c:pt>
                <c:pt idx="1">
                  <c:v>Discount_Rate</c:v>
                </c:pt>
              </c:strCache>
            </c:strRef>
          </c:cat>
          <c:val>
            <c:numRef>
              <c:f>'pivot table'!$D$5:$D$6</c:f>
              <c:numCache>
                <c:formatCode>0%</c:formatCode>
                <c:ptCount val="2"/>
                <c:pt idx="0">
                  <c:v>0.28207027304475285</c:v>
                </c:pt>
                <c:pt idx="1">
                  <c:v>0.1792119726776597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8-4F25-851D-51D242FE0D2C}"/>
            </c:ext>
          </c:extLst>
        </c:ser>
        <c:ser>
          <c:idx val="2"/>
          <c:order val="2"/>
          <c:tx>
            <c:strRef>
              <c:f>'pivot table'!$E$3:$E$4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table'!$B$5:$B$6</c:f>
              <c:strCache>
                <c:ptCount val="2"/>
                <c:pt idx="0">
                  <c:v>Profit_Margin</c:v>
                </c:pt>
                <c:pt idx="1">
                  <c:v>Discount_Rate</c:v>
                </c:pt>
              </c:strCache>
            </c:strRef>
          </c:cat>
          <c:val>
            <c:numRef>
              <c:f>'pivot table'!$E$5:$E$6</c:f>
              <c:numCache>
                <c:formatCode>0%</c:formatCode>
                <c:ptCount val="2"/>
                <c:pt idx="0">
                  <c:v>0.29341221334385292</c:v>
                </c:pt>
                <c:pt idx="1">
                  <c:v>0.1914367551470802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8-4F25-851D-51D242FE0D2C}"/>
            </c:ext>
          </c:extLst>
        </c:ser>
        <c:ser>
          <c:idx val="3"/>
          <c:order val="3"/>
          <c:tx>
            <c:strRef>
              <c:f>'pivot table'!$F$3:$F$4</c:f>
              <c:strCache>
                <c:ptCount val="1"/>
                <c:pt idx="0">
                  <c:v>Home &amp; Kitchen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table'!$B$5:$B$6</c:f>
              <c:strCache>
                <c:ptCount val="2"/>
                <c:pt idx="0">
                  <c:v>Profit_Margin</c:v>
                </c:pt>
                <c:pt idx="1">
                  <c:v>Discount_Rate</c:v>
                </c:pt>
              </c:strCache>
            </c:strRef>
          </c:cat>
          <c:val>
            <c:numRef>
              <c:f>'pivot table'!$F$5:$F$6</c:f>
              <c:numCache>
                <c:formatCode>0%</c:formatCode>
                <c:ptCount val="2"/>
                <c:pt idx="0">
                  <c:v>0.27348353487465565</c:v>
                </c:pt>
                <c:pt idx="1">
                  <c:v>0.16045404827461524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8-4F25-851D-51D242FE0D2C}"/>
            </c:ext>
          </c:extLst>
        </c:ser>
        <c:ser>
          <c:idx val="4"/>
          <c:order val="4"/>
          <c:tx>
            <c:strRef>
              <c:f>'pivot table'!$G$3:$G$4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table'!$B$5:$B$6</c:f>
              <c:strCache>
                <c:ptCount val="2"/>
                <c:pt idx="0">
                  <c:v>Profit_Margin</c:v>
                </c:pt>
                <c:pt idx="1">
                  <c:v>Discount_Rate</c:v>
                </c:pt>
              </c:strCache>
            </c:strRef>
          </c:cat>
          <c:val>
            <c:numRef>
              <c:f>'pivot table'!$G$5:$G$6</c:f>
              <c:numCache>
                <c:formatCode>0%</c:formatCode>
                <c:ptCount val="2"/>
                <c:pt idx="0">
                  <c:v>0.27960910862075272</c:v>
                </c:pt>
                <c:pt idx="1">
                  <c:v>0.17634523606394423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B8-4F25-851D-51D242FE0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62767"/>
        <c:axId val="13664431"/>
      </c:barChart>
      <c:catAx>
        <c:axId val="13662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13664431"/>
        <c:crosses val="autoZero"/>
        <c:auto val="1"/>
        <c:lblAlgn val="ctr"/>
        <c:lblOffset val="100"/>
        <c:noMultiLvlLbl val="0"/>
      </c:catAx>
      <c:valAx>
        <c:axId val="136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1366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 descriptive analysis.xlsx]pivot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and QS by region for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table'!$C$11</c:f>
              <c:strCache>
                <c:ptCount val="1"/>
                <c:pt idx="0">
                  <c:v>Average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table'!$B$12:$B$37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Beauty &amp; Health</c:v>
                  </c:pt>
                  <c:pt idx="4">
                    <c:v>Clothing</c:v>
                  </c:pt>
                  <c:pt idx="8">
                    <c:v>Electronics</c:v>
                  </c:pt>
                  <c:pt idx="12">
                    <c:v>Home &amp; Kitchen</c:v>
                  </c:pt>
                  <c:pt idx="16">
                    <c:v>Sports &amp; Outdoors</c:v>
                  </c:pt>
                </c:lvl>
              </c:multiLvlStrCache>
            </c:multiLvlStrRef>
          </c:cat>
          <c:val>
            <c:numRef>
              <c:f>'pivot table'!$C$12:$C$37</c:f>
              <c:numCache>
                <c:formatCode>0.00</c:formatCode>
                <c:ptCount val="20"/>
                <c:pt idx="0">
                  <c:v>589.28828506790376</c:v>
                </c:pt>
                <c:pt idx="1">
                  <c:v>610.0544182320325</c:v>
                </c:pt>
                <c:pt idx="2">
                  <c:v>617.03483424453532</c:v>
                </c:pt>
                <c:pt idx="3">
                  <c:v>426.42029346766645</c:v>
                </c:pt>
                <c:pt idx="4">
                  <c:v>364.96997048899561</c:v>
                </c:pt>
                <c:pt idx="5">
                  <c:v>483.22889255102848</c:v>
                </c:pt>
                <c:pt idx="6">
                  <c:v>579.92820635051544</c:v>
                </c:pt>
                <c:pt idx="7">
                  <c:v>640.08170837804494</c:v>
                </c:pt>
                <c:pt idx="8">
                  <c:v>494.18400955019712</c:v>
                </c:pt>
                <c:pt idx="9">
                  <c:v>561.32432274023222</c:v>
                </c:pt>
                <c:pt idx="10">
                  <c:v>515.30452564434302</c:v>
                </c:pt>
                <c:pt idx="11">
                  <c:v>589.27507672045874</c:v>
                </c:pt>
                <c:pt idx="12">
                  <c:v>486.97261412333557</c:v>
                </c:pt>
                <c:pt idx="13">
                  <c:v>471.797899990953</c:v>
                </c:pt>
                <c:pt idx="14">
                  <c:v>595.72530825603417</c:v>
                </c:pt>
                <c:pt idx="15">
                  <c:v>514.70200443890064</c:v>
                </c:pt>
                <c:pt idx="16">
                  <c:v>475.35180998011737</c:v>
                </c:pt>
                <c:pt idx="17">
                  <c:v>520.96917396957861</c:v>
                </c:pt>
                <c:pt idx="18">
                  <c:v>483.81190296796723</c:v>
                </c:pt>
                <c:pt idx="19">
                  <c:v>600.61115868020295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9-486E-8CD6-47796B462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175151"/>
        <c:axId val="265178063"/>
      </c:barChart>
      <c:lineChart>
        <c:grouping val="standard"/>
        <c:varyColors val="0"/>
        <c:ser>
          <c:idx val="1"/>
          <c:order val="1"/>
          <c:tx>
            <c:strRef>
              <c:f>'pivot table'!$D$11</c:f>
              <c:strCache>
                <c:ptCount val="1"/>
                <c:pt idx="0">
                  <c:v>Average of Quantity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table'!$B$12:$B$37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Beauty &amp; Health</c:v>
                  </c:pt>
                  <c:pt idx="4">
                    <c:v>Clothing</c:v>
                  </c:pt>
                  <c:pt idx="8">
                    <c:v>Electronics</c:v>
                  </c:pt>
                  <c:pt idx="12">
                    <c:v>Home &amp; Kitchen</c:v>
                  </c:pt>
                  <c:pt idx="16">
                    <c:v>Sports &amp; Outdoors</c:v>
                  </c:pt>
                </c:lvl>
              </c:multiLvlStrCache>
            </c:multiLvlStrRef>
          </c:cat>
          <c:val>
            <c:numRef>
              <c:f>'pivot table'!$D$12:$D$37</c:f>
              <c:numCache>
                <c:formatCode>0.00</c:formatCode>
                <c:ptCount val="20"/>
                <c:pt idx="0">
                  <c:v>28.732588601511072</c:v>
                </c:pt>
                <c:pt idx="1">
                  <c:v>34.636764374417702</c:v>
                </c:pt>
                <c:pt idx="2">
                  <c:v>34.687412897372106</c:v>
                </c:pt>
                <c:pt idx="3">
                  <c:v>30.837992070155419</c:v>
                </c:pt>
                <c:pt idx="4">
                  <c:v>31.915470714460316</c:v>
                </c:pt>
                <c:pt idx="5">
                  <c:v>29.419467540370853</c:v>
                </c:pt>
                <c:pt idx="6">
                  <c:v>30.78337277971125</c:v>
                </c:pt>
                <c:pt idx="7">
                  <c:v>27.449307391864934</c:v>
                </c:pt>
                <c:pt idx="8">
                  <c:v>34.852147654324263</c:v>
                </c:pt>
                <c:pt idx="9">
                  <c:v>32.005509203528874</c:v>
                </c:pt>
                <c:pt idx="10">
                  <c:v>29.082502467510455</c:v>
                </c:pt>
                <c:pt idx="11">
                  <c:v>33.891774456987044</c:v>
                </c:pt>
                <c:pt idx="12">
                  <c:v>32.421431183569254</c:v>
                </c:pt>
                <c:pt idx="13">
                  <c:v>30.74044024705351</c:v>
                </c:pt>
                <c:pt idx="14">
                  <c:v>33.125311860349029</c:v>
                </c:pt>
                <c:pt idx="15">
                  <c:v>37.029628720443739</c:v>
                </c:pt>
                <c:pt idx="16">
                  <c:v>34.684569363896053</c:v>
                </c:pt>
                <c:pt idx="17">
                  <c:v>30.126044478606143</c:v>
                </c:pt>
                <c:pt idx="18">
                  <c:v>27.800734460672885</c:v>
                </c:pt>
                <c:pt idx="19">
                  <c:v>32.394587724479862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9-486E-8CD6-47796B462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49791"/>
        <c:axId val="263459359"/>
      </c:lineChart>
      <c:catAx>
        <c:axId val="26344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263459359"/>
        <c:crosses val="autoZero"/>
        <c:auto val="1"/>
        <c:lblAlgn val="ctr"/>
        <c:lblOffset val="100"/>
        <c:noMultiLvlLbl val="0"/>
      </c:catAx>
      <c:valAx>
        <c:axId val="2634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263449791"/>
        <c:crosses val="autoZero"/>
        <c:crossBetween val="between"/>
      </c:valAx>
      <c:valAx>
        <c:axId val="26517806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265175151"/>
        <c:crosses val="max"/>
        <c:crossBetween val="between"/>
      </c:valAx>
      <c:catAx>
        <c:axId val="26517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51780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 descriptive analysis.xlsx]pivot table!PivotTable5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sold for product category by customer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table'!$G$11:$G$12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table'!$F$13:$F$18</c:f>
              <c:strCache>
                <c:ptCount val="5"/>
                <c:pt idx="0">
                  <c:v>Beauty &amp; Health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 &amp; Outdoors</c:v>
                </c:pt>
              </c:strCache>
            </c:strRef>
          </c:cat>
          <c:val>
            <c:numRef>
              <c:f>'pivot table'!$G$13:$G$18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1-46D2-B958-10D348DD8CE0}"/>
            </c:ext>
          </c:extLst>
        </c:ser>
        <c:ser>
          <c:idx val="1"/>
          <c:order val="1"/>
          <c:tx>
            <c:strRef>
              <c:f>'pivot table'!$H$11:$H$12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table'!$F$13:$F$18</c:f>
              <c:strCache>
                <c:ptCount val="5"/>
                <c:pt idx="0">
                  <c:v>Beauty &amp; Health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 &amp; Outdoors</c:v>
                </c:pt>
              </c:strCache>
            </c:strRef>
          </c:cat>
          <c:val>
            <c:numRef>
              <c:f>'pivot table'!$H$13:$H$18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1-46D2-B958-10D348DD8CE0}"/>
            </c:ext>
          </c:extLst>
        </c:ser>
        <c:ser>
          <c:idx val="2"/>
          <c:order val="2"/>
          <c:tx>
            <c:strRef>
              <c:f>'pivot table'!$I$11:$I$12</c:f>
              <c:strCache>
                <c:ptCount val="1"/>
                <c:pt idx="0">
                  <c:v>Wholesale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table'!$F$13:$F$18</c:f>
              <c:strCache>
                <c:ptCount val="5"/>
                <c:pt idx="0">
                  <c:v>Beauty &amp; Health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 &amp; Outdoors</c:v>
                </c:pt>
              </c:strCache>
            </c:strRef>
          </c:cat>
          <c:val>
            <c:numRef>
              <c:f>'pivot table'!$I$13:$I$18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1-46D2-B958-10D348DD8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811279"/>
        <c:axId val="398792559"/>
      </c:barChart>
      <c:catAx>
        <c:axId val="398811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</a:t>
                </a:r>
              </a:p>
              <a:p>
                <a:pPr>
                  <a:defRPr b="1"/>
                </a:pP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398792559"/>
        <c:crosses val="autoZero"/>
        <c:auto val="1"/>
        <c:lblAlgn val="ctr"/>
        <c:lblOffset val="100"/>
        <c:noMultiLvlLbl val="0"/>
      </c:catAx>
      <c:valAx>
        <c:axId val="39879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39881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vs 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regression'!$C$1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'Linear regression'!$A$2:$A$101</c:f>
              <c:numCache>
                <c:formatCode>0.00</c:formatCode>
                <c:ptCount val="100"/>
                <c:pt idx="0">
                  <c:v>619.41733832886609</c:v>
                </c:pt>
                <c:pt idx="1">
                  <c:v>886.1339798802187</c:v>
                </c:pt>
                <c:pt idx="2">
                  <c:v>449.13093283360729</c:v>
                </c:pt>
                <c:pt idx="3">
                  <c:v>610.02358125508351</c:v>
                </c:pt>
                <c:pt idx="4">
                  <c:v>364.7761269469521</c:v>
                </c:pt>
                <c:pt idx="5">
                  <c:v>576.61392133806294</c:v>
                </c:pt>
                <c:pt idx="6">
                  <c:v>449.13093283360729</c:v>
                </c:pt>
                <c:pt idx="7">
                  <c:v>372.90517238163818</c:v>
                </c:pt>
                <c:pt idx="8">
                  <c:v>545.77266574920179</c:v>
                </c:pt>
                <c:pt idx="9">
                  <c:v>413.90524534251369</c:v>
                </c:pt>
                <c:pt idx="10">
                  <c:v>600.05114910613997</c:v>
                </c:pt>
                <c:pt idx="11">
                  <c:v>726.81693567394757</c:v>
                </c:pt>
                <c:pt idx="12">
                  <c:v>491.90097738880718</c:v>
                </c:pt>
                <c:pt idx="13">
                  <c:v>497.81317760107709</c:v>
                </c:pt>
                <c:pt idx="14">
                  <c:v>734.54360210915809</c:v>
                </c:pt>
                <c:pt idx="15">
                  <c:v>610.02358125508351</c:v>
                </c:pt>
                <c:pt idx="16">
                  <c:v>614.24978057956264</c:v>
                </c:pt>
                <c:pt idx="17">
                  <c:v>291.05760965024848</c:v>
                </c:pt>
                <c:pt idx="18">
                  <c:v>696.81069761586082</c:v>
                </c:pt>
                <c:pt idx="19">
                  <c:v>551.57500310812304</c:v>
                </c:pt>
                <c:pt idx="20">
                  <c:v>495.58882510192927</c:v>
                </c:pt>
                <c:pt idx="21">
                  <c:v>252.880529766411</c:v>
                </c:pt>
                <c:pt idx="22">
                  <c:v>294.05947140624812</c:v>
                </c:pt>
                <c:pt idx="23">
                  <c:v>521.92242249612491</c:v>
                </c:pt>
                <c:pt idx="24">
                  <c:v>415.68001582094871</c:v>
                </c:pt>
                <c:pt idx="25">
                  <c:v>463.17255028533771</c:v>
                </c:pt>
                <c:pt idx="26">
                  <c:v>720.91010268149512</c:v>
                </c:pt>
                <c:pt idx="27">
                  <c:v>830.13369852249514</c:v>
                </c:pt>
                <c:pt idx="28">
                  <c:v>573.45234536559701</c:v>
                </c:pt>
                <c:pt idx="29">
                  <c:v>473.55217273725202</c:v>
                </c:pt>
                <c:pt idx="30">
                  <c:v>545.77266574920179</c:v>
                </c:pt>
                <c:pt idx="31">
                  <c:v>375.22752388249648</c:v>
                </c:pt>
                <c:pt idx="32">
                  <c:v>610.02358125508351</c:v>
                </c:pt>
                <c:pt idx="33">
                  <c:v>830.13369852249514</c:v>
                </c:pt>
                <c:pt idx="34">
                  <c:v>307.91532286630729</c:v>
                </c:pt>
                <c:pt idx="35">
                  <c:v>557.79180936942089</c:v>
                </c:pt>
                <c:pt idx="36">
                  <c:v>449.13093283360729</c:v>
                </c:pt>
                <c:pt idx="37">
                  <c:v>734.54360210915809</c:v>
                </c:pt>
                <c:pt idx="38">
                  <c:v>252.880529766411</c:v>
                </c:pt>
                <c:pt idx="39">
                  <c:v>708.1677590396705</c:v>
                </c:pt>
                <c:pt idx="40">
                  <c:v>447.27848635895299</c:v>
                </c:pt>
                <c:pt idx="41">
                  <c:v>890.46319359814106</c:v>
                </c:pt>
                <c:pt idx="42">
                  <c:v>503.2671201808941</c:v>
                </c:pt>
                <c:pt idx="43">
                  <c:v>421.88563910474119</c:v>
                </c:pt>
                <c:pt idx="44">
                  <c:v>291.05760965024848</c:v>
                </c:pt>
                <c:pt idx="45">
                  <c:v>596.96015524763516</c:v>
                </c:pt>
                <c:pt idx="46">
                  <c:v>559.97758335747517</c:v>
                </c:pt>
                <c:pt idx="47">
                  <c:v>696.81069761586082</c:v>
                </c:pt>
                <c:pt idx="48">
                  <c:v>606.72437794032601</c:v>
                </c:pt>
                <c:pt idx="49">
                  <c:v>484.28885475832197</c:v>
                </c:pt>
                <c:pt idx="50">
                  <c:v>504.65458741369969</c:v>
                </c:pt>
                <c:pt idx="51">
                  <c:v>496.06702576891882</c:v>
                </c:pt>
                <c:pt idx="52">
                  <c:v>569.036813905543</c:v>
                </c:pt>
                <c:pt idx="53">
                  <c:v>523.01127462814736</c:v>
                </c:pt>
                <c:pt idx="54">
                  <c:v>438.67524693903368</c:v>
                </c:pt>
                <c:pt idx="55">
                  <c:v>830.13369852249514</c:v>
                </c:pt>
                <c:pt idx="56">
                  <c:v>497.81317760107709</c:v>
                </c:pt>
                <c:pt idx="57">
                  <c:v>375.22752388249648</c:v>
                </c:pt>
                <c:pt idx="58">
                  <c:v>523.01127462814736</c:v>
                </c:pt>
                <c:pt idx="59">
                  <c:v>504.65458741369969</c:v>
                </c:pt>
                <c:pt idx="60">
                  <c:v>319.56344705841639</c:v>
                </c:pt>
                <c:pt idx="61">
                  <c:v>619.41733832886609</c:v>
                </c:pt>
                <c:pt idx="62">
                  <c:v>305.47024795509333</c:v>
                </c:pt>
                <c:pt idx="63">
                  <c:v>521.92242249612491</c:v>
                </c:pt>
                <c:pt idx="64">
                  <c:v>473.37922936466907</c:v>
                </c:pt>
                <c:pt idx="65">
                  <c:v>619.41733832886609</c:v>
                </c:pt>
                <c:pt idx="66">
                  <c:v>659.36358432663053</c:v>
                </c:pt>
                <c:pt idx="67">
                  <c:v>648.04278931605404</c:v>
                </c:pt>
                <c:pt idx="68">
                  <c:v>608.0353746788893</c:v>
                </c:pt>
                <c:pt idx="69">
                  <c:v>362.0806959925111</c:v>
                </c:pt>
                <c:pt idx="70">
                  <c:v>573.24211385453748</c:v>
                </c:pt>
                <c:pt idx="71">
                  <c:v>551.57500310812304</c:v>
                </c:pt>
                <c:pt idx="72">
                  <c:v>581.24124671152902</c:v>
                </c:pt>
                <c:pt idx="73">
                  <c:v>551.57500310812304</c:v>
                </c:pt>
                <c:pt idx="74">
                  <c:v>545.77266574920179</c:v>
                </c:pt>
                <c:pt idx="75">
                  <c:v>403.40831801853841</c:v>
                </c:pt>
                <c:pt idx="76">
                  <c:v>886.1339798802187</c:v>
                </c:pt>
                <c:pt idx="77">
                  <c:v>726.81693567394757</c:v>
                </c:pt>
                <c:pt idx="78">
                  <c:v>886.1339798802187</c:v>
                </c:pt>
                <c:pt idx="79">
                  <c:v>664.15565877204904</c:v>
                </c:pt>
                <c:pt idx="80">
                  <c:v>558.42480133446179</c:v>
                </c:pt>
                <c:pt idx="81">
                  <c:v>569.036813905543</c:v>
                </c:pt>
                <c:pt idx="82">
                  <c:v>252.880529766411</c:v>
                </c:pt>
                <c:pt idx="83">
                  <c:v>773.23782906934002</c:v>
                </c:pt>
                <c:pt idx="84">
                  <c:v>817.8805740858752</c:v>
                </c:pt>
                <c:pt idx="85">
                  <c:v>603.45495957616026</c:v>
                </c:pt>
                <c:pt idx="86">
                  <c:v>518.08895796790466</c:v>
                </c:pt>
                <c:pt idx="87">
                  <c:v>307.91532286630729</c:v>
                </c:pt>
                <c:pt idx="88">
                  <c:v>375.22752388249648</c:v>
                </c:pt>
                <c:pt idx="89">
                  <c:v>519.22626043512992</c:v>
                </c:pt>
                <c:pt idx="90">
                  <c:v>291.05760965024848</c:v>
                </c:pt>
                <c:pt idx="91">
                  <c:v>389.38710677341862</c:v>
                </c:pt>
                <c:pt idx="92">
                  <c:v>454.85168594785551</c:v>
                </c:pt>
                <c:pt idx="93">
                  <c:v>521.92242249612491</c:v>
                </c:pt>
                <c:pt idx="94">
                  <c:v>518.08895796790466</c:v>
                </c:pt>
                <c:pt idx="95">
                  <c:v>167.05152762488819</c:v>
                </c:pt>
                <c:pt idx="96">
                  <c:v>734.54360210915809</c:v>
                </c:pt>
                <c:pt idx="97">
                  <c:v>447.27848635895299</c:v>
                </c:pt>
                <c:pt idx="98">
                  <c:v>504.65458741369969</c:v>
                </c:pt>
                <c:pt idx="99">
                  <c:v>419.38042762271778</c:v>
                </c:pt>
              </c:numCache>
            </c:numRef>
          </c:xVal>
          <c:yVal>
            <c:numRef>
              <c:f>'Linear regression'!$C$2:$C$101</c:f>
              <c:numCache>
                <c:formatCode>0%</c:formatCode>
                <c:ptCount val="100"/>
                <c:pt idx="0">
                  <c:v>0.28936177079024888</c:v>
                </c:pt>
                <c:pt idx="1">
                  <c:v>0.2207370029864176</c:v>
                </c:pt>
                <c:pt idx="2">
                  <c:v>0.25439927348418562</c:v>
                </c:pt>
                <c:pt idx="3">
                  <c:v>0.30629010595447159</c:v>
                </c:pt>
                <c:pt idx="4">
                  <c:v>0.21021883294682961</c:v>
                </c:pt>
                <c:pt idx="5">
                  <c:v>0.29212239699142872</c:v>
                </c:pt>
                <c:pt idx="6">
                  <c:v>0.31072854455321491</c:v>
                </c:pt>
                <c:pt idx="7">
                  <c:v>0.2110494352398164</c:v>
                </c:pt>
                <c:pt idx="8">
                  <c:v>0.27918051659162052</c:v>
                </c:pt>
                <c:pt idx="9">
                  <c:v>0.22284298272060979</c:v>
                </c:pt>
                <c:pt idx="10">
                  <c:v>0.29895452589316301</c:v>
                </c:pt>
                <c:pt idx="11">
                  <c:v>0.35155019849350672</c:v>
                </c:pt>
                <c:pt idx="12">
                  <c:v>0.25465478640020989</c:v>
                </c:pt>
                <c:pt idx="13">
                  <c:v>0.2680229457328035</c:v>
                </c:pt>
                <c:pt idx="14">
                  <c:v>0.35719492828615568</c:v>
                </c:pt>
                <c:pt idx="15">
                  <c:v>0.40987566214717058</c:v>
                </c:pt>
                <c:pt idx="16">
                  <c:v>0.31830109051492927</c:v>
                </c:pt>
                <c:pt idx="17">
                  <c:v>0.17712869665622341</c:v>
                </c:pt>
                <c:pt idx="18">
                  <c:v>0.28515499329898969</c:v>
                </c:pt>
                <c:pt idx="19">
                  <c:v>0.34135721988956752</c:v>
                </c:pt>
                <c:pt idx="20">
                  <c:v>0.25651376000433213</c:v>
                </c:pt>
                <c:pt idx="21">
                  <c:v>0.14962905137318741</c:v>
                </c:pt>
                <c:pt idx="22">
                  <c:v>0.18294062777081871</c:v>
                </c:pt>
                <c:pt idx="23">
                  <c:v>0.27367669906443659</c:v>
                </c:pt>
                <c:pt idx="24">
                  <c:v>0.22479924456866621</c:v>
                </c:pt>
                <c:pt idx="25">
                  <c:v>0.25128814980901171</c:v>
                </c:pt>
                <c:pt idx="26">
                  <c:v>0.34981255561364211</c:v>
                </c:pt>
                <c:pt idx="27">
                  <c:v>0.27568709704055427</c:v>
                </c:pt>
                <c:pt idx="28">
                  <c:v>0.2910865626887707</c:v>
                </c:pt>
                <c:pt idx="29">
                  <c:v>0.25301998160958439</c:v>
                </c:pt>
                <c:pt idx="30">
                  <c:v>0.28087418717400608</c:v>
                </c:pt>
                <c:pt idx="31">
                  <c:v>0.29589157319362352</c:v>
                </c:pt>
                <c:pt idx="32">
                  <c:v>0.3561087509382424</c:v>
                </c:pt>
                <c:pt idx="33">
                  <c:v>0.37607345777717149</c:v>
                </c:pt>
                <c:pt idx="34">
                  <c:v>0.18955232651186979</c:v>
                </c:pt>
                <c:pt idx="35">
                  <c:v>0.28130963365436612</c:v>
                </c:pt>
                <c:pt idx="36">
                  <c:v>0.24905707173957051</c:v>
                </c:pt>
                <c:pt idx="37">
                  <c:v>0.35867859413871878</c:v>
                </c:pt>
                <c:pt idx="38">
                  <c:v>0.32331029713287818</c:v>
                </c:pt>
                <c:pt idx="39">
                  <c:v>0.34656380994048908</c:v>
                </c:pt>
                <c:pt idx="40">
                  <c:v>0.41054204530787919</c:v>
                </c:pt>
                <c:pt idx="41">
                  <c:v>0.45044823315321392</c:v>
                </c:pt>
                <c:pt idx="42">
                  <c:v>0.26813506639730089</c:v>
                </c:pt>
                <c:pt idx="43">
                  <c:v>0.23379175927136131</c:v>
                </c:pt>
                <c:pt idx="44">
                  <c:v>0.36212322494095361</c:v>
                </c:pt>
                <c:pt idx="45">
                  <c:v>0.29718856991396142</c:v>
                </c:pt>
                <c:pt idx="46">
                  <c:v>0.28336942798927012</c:v>
                </c:pt>
                <c:pt idx="47">
                  <c:v>0.34625154351267551</c:v>
                </c:pt>
                <c:pt idx="48">
                  <c:v>0.30257537012267921</c:v>
                </c:pt>
                <c:pt idx="49">
                  <c:v>0.25403672103000408</c:v>
                </c:pt>
                <c:pt idx="50">
                  <c:v>0.3718495870650842</c:v>
                </c:pt>
                <c:pt idx="51">
                  <c:v>0.26525404584659262</c:v>
                </c:pt>
                <c:pt idx="52">
                  <c:v>0.28728976709457338</c:v>
                </c:pt>
                <c:pt idx="53">
                  <c:v>0.35683679596408208</c:v>
                </c:pt>
                <c:pt idx="54">
                  <c:v>0.24060566113363149</c:v>
                </c:pt>
                <c:pt idx="55">
                  <c:v>0.39777191437161191</c:v>
                </c:pt>
                <c:pt idx="56">
                  <c:v>0.33006229745372762</c:v>
                </c:pt>
                <c:pt idx="57">
                  <c:v>0.27643788341618669</c:v>
                </c:pt>
                <c:pt idx="58">
                  <c:v>0.2743413460545816</c:v>
                </c:pt>
                <c:pt idx="59">
                  <c:v>0.34042130162395873</c:v>
                </c:pt>
                <c:pt idx="60">
                  <c:v>0.19223505408993111</c:v>
                </c:pt>
                <c:pt idx="61">
                  <c:v>0.32266433225341751</c:v>
                </c:pt>
                <c:pt idx="62">
                  <c:v>0.18679294537118299</c:v>
                </c:pt>
                <c:pt idx="63">
                  <c:v>0.31044692368482418</c:v>
                </c:pt>
                <c:pt idx="64">
                  <c:v>0.25202637409654721</c:v>
                </c:pt>
                <c:pt idx="65">
                  <c:v>0.37123395995440062</c:v>
                </c:pt>
                <c:pt idx="66">
                  <c:v>0.33292245175206381</c:v>
                </c:pt>
                <c:pt idx="67">
                  <c:v>0.32581869835967092</c:v>
                </c:pt>
                <c:pt idx="68">
                  <c:v>0.30329966544333942</c:v>
                </c:pt>
                <c:pt idx="69">
                  <c:v>0.20414723507989471</c:v>
                </c:pt>
                <c:pt idx="70">
                  <c:v>0.28948886558907888</c:v>
                </c:pt>
                <c:pt idx="71">
                  <c:v>0.28054417581680913</c:v>
                </c:pt>
                <c:pt idx="72">
                  <c:v>0.29284631491392171</c:v>
                </c:pt>
                <c:pt idx="73">
                  <c:v>0.20187766616909419</c:v>
                </c:pt>
                <c:pt idx="74">
                  <c:v>0.2248782794162171</c:v>
                </c:pt>
                <c:pt idx="75">
                  <c:v>0.22107462398711211</c:v>
                </c:pt>
                <c:pt idx="76">
                  <c:v>0.19529177275776979</c:v>
                </c:pt>
                <c:pt idx="77">
                  <c:v>0.25414415926475448</c:v>
                </c:pt>
                <c:pt idx="78">
                  <c:v>0.41063671974599147</c:v>
                </c:pt>
                <c:pt idx="79">
                  <c:v>0.33781935185684459</c:v>
                </c:pt>
                <c:pt idx="80">
                  <c:v>0.28215109754040218</c:v>
                </c:pt>
                <c:pt idx="81">
                  <c:v>0.28620642158906862</c:v>
                </c:pt>
                <c:pt idx="82">
                  <c:v>0.31094851703248888</c:v>
                </c:pt>
                <c:pt idx="83">
                  <c:v>0.36288404833129961</c:v>
                </c:pt>
                <c:pt idx="84">
                  <c:v>0.39096878987349809</c:v>
                </c:pt>
                <c:pt idx="85">
                  <c:v>0.30025139260575129</c:v>
                </c:pt>
                <c:pt idx="86">
                  <c:v>0.31869611368775308</c:v>
                </c:pt>
                <c:pt idx="87">
                  <c:v>0.34442553880212762</c:v>
                </c:pt>
                <c:pt idx="88">
                  <c:v>0.21289820988431221</c:v>
                </c:pt>
                <c:pt idx="89">
                  <c:v>0.27060515784716049</c:v>
                </c:pt>
                <c:pt idx="90">
                  <c:v>0.33856809984859187</c:v>
                </c:pt>
                <c:pt idx="91">
                  <c:v>0.21906150646039199</c:v>
                </c:pt>
                <c:pt idx="92">
                  <c:v>0.24923385254589181</c:v>
                </c:pt>
                <c:pt idx="93">
                  <c:v>0.23429928415438989</c:v>
                </c:pt>
                <c:pt idx="94">
                  <c:v>0.26977427974324081</c:v>
                </c:pt>
                <c:pt idx="95">
                  <c:v>0.1227218508002173</c:v>
                </c:pt>
                <c:pt idx="96">
                  <c:v>0.34288763100419523</c:v>
                </c:pt>
                <c:pt idx="97">
                  <c:v>0.24580046742972819</c:v>
                </c:pt>
                <c:pt idx="98">
                  <c:v>0.26928534750742977</c:v>
                </c:pt>
                <c:pt idx="99">
                  <c:v>0.23183287709095979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6-47D3-8FE2-4B25B5F58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033999"/>
        <c:axId val="598986991"/>
      </c:scatterChart>
      <c:valAx>
        <c:axId val="59903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598986991"/>
        <c:crosses val="autoZero"/>
        <c:crossBetween val="midCat"/>
      </c:valAx>
      <c:valAx>
        <c:axId val="5989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59903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vs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regression'!$C$1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'Linear regression'!$B$2:$B$101</c:f>
              <c:numCache>
                <c:formatCode>0</c:formatCode>
                <c:ptCount val="100"/>
                <c:pt idx="0">
                  <c:v>36.148044477110183</c:v>
                </c:pt>
                <c:pt idx="1">
                  <c:v>22.67066139610537</c:v>
                </c:pt>
                <c:pt idx="2">
                  <c:v>25.659829377999021</c:v>
                </c:pt>
                <c:pt idx="3">
                  <c:v>22.71292327512996</c:v>
                </c:pt>
                <c:pt idx="4">
                  <c:v>22.17917729923893</c:v>
                </c:pt>
                <c:pt idx="5">
                  <c:v>32.112950746165673</c:v>
                </c:pt>
                <c:pt idx="6">
                  <c:v>34.168209673514582</c:v>
                </c:pt>
                <c:pt idx="7">
                  <c:v>32.509503541037532</c:v>
                </c:pt>
                <c:pt idx="8">
                  <c:v>28.966599379394442</c:v>
                </c:pt>
                <c:pt idx="9">
                  <c:v>22.800456610910508</c:v>
                </c:pt>
                <c:pt idx="10">
                  <c:v>37.920198615682011</c:v>
                </c:pt>
                <c:pt idx="11">
                  <c:v>34.168209673514582</c:v>
                </c:pt>
                <c:pt idx="12">
                  <c:v>34.509555299643331</c:v>
                </c:pt>
                <c:pt idx="13">
                  <c:v>34.233542912614041</c:v>
                </c:pt>
                <c:pt idx="14">
                  <c:v>38.91018632957595</c:v>
                </c:pt>
                <c:pt idx="15">
                  <c:v>42.863547025446572</c:v>
                </c:pt>
                <c:pt idx="16">
                  <c:v>34.481965046749572</c:v>
                </c:pt>
                <c:pt idx="17">
                  <c:v>19.701526021482589</c:v>
                </c:pt>
                <c:pt idx="18">
                  <c:v>30.21220372182901</c:v>
                </c:pt>
                <c:pt idx="19">
                  <c:v>42.328424856528947</c:v>
                </c:pt>
                <c:pt idx="20">
                  <c:v>25.761026144140789</c:v>
                </c:pt>
                <c:pt idx="21">
                  <c:v>32.124851019620138</c:v>
                </c:pt>
                <c:pt idx="22">
                  <c:v>42.450393069510469</c:v>
                </c:pt>
                <c:pt idx="23">
                  <c:v>27.640040591643441</c:v>
                </c:pt>
                <c:pt idx="24">
                  <c:v>23.1050477214369</c:v>
                </c:pt>
                <c:pt idx="25">
                  <c:v>25.06958002405791</c:v>
                </c:pt>
                <c:pt idx="26">
                  <c:v>37.446775253972348</c:v>
                </c:pt>
                <c:pt idx="27">
                  <c:v>34.093862468973867</c:v>
                </c:pt>
                <c:pt idx="28">
                  <c:v>31.988254494707039</c:v>
                </c:pt>
                <c:pt idx="29">
                  <c:v>25.403001481665331</c:v>
                </c:pt>
                <c:pt idx="30">
                  <c:v>42.957474570995288</c:v>
                </c:pt>
                <c:pt idx="31">
                  <c:v>32.509503541037532</c:v>
                </c:pt>
                <c:pt idx="32">
                  <c:v>37.920198615682011</c:v>
                </c:pt>
                <c:pt idx="33">
                  <c:v>23.33189768406957</c:v>
                </c:pt>
                <c:pt idx="34">
                  <c:v>28.213310860324128</c:v>
                </c:pt>
                <c:pt idx="35">
                  <c:v>29.54505596450246</c:v>
                </c:pt>
                <c:pt idx="36">
                  <c:v>42.450393069510469</c:v>
                </c:pt>
                <c:pt idx="37">
                  <c:v>36.148044477110183</c:v>
                </c:pt>
                <c:pt idx="38">
                  <c:v>35.14527034142445</c:v>
                </c:pt>
                <c:pt idx="39">
                  <c:v>36.462644721053408</c:v>
                </c:pt>
                <c:pt idx="40">
                  <c:v>42.957474570995288</c:v>
                </c:pt>
                <c:pt idx="41">
                  <c:v>28.856357791851678</c:v>
                </c:pt>
                <c:pt idx="42">
                  <c:v>26.96311664321771</c:v>
                </c:pt>
                <c:pt idx="43">
                  <c:v>24.258495432968651</c:v>
                </c:pt>
                <c:pt idx="44">
                  <c:v>30.21220372182901</c:v>
                </c:pt>
                <c:pt idx="45">
                  <c:v>32.640044751077639</c:v>
                </c:pt>
                <c:pt idx="46">
                  <c:v>30.116527726833709</c:v>
                </c:pt>
                <c:pt idx="47">
                  <c:v>36.329472046171738</c:v>
                </c:pt>
                <c:pt idx="48">
                  <c:v>33.488511070211693</c:v>
                </c:pt>
                <c:pt idx="49">
                  <c:v>22.67066139610537</c:v>
                </c:pt>
                <c:pt idx="50">
                  <c:v>42.450393069510469</c:v>
                </c:pt>
                <c:pt idx="51">
                  <c:v>26.6797836620513</c:v>
                </c:pt>
                <c:pt idx="52">
                  <c:v>37.510906147376723</c:v>
                </c:pt>
                <c:pt idx="53">
                  <c:v>21.014939592383691</c:v>
                </c:pt>
                <c:pt idx="54">
                  <c:v>25.659829377999021</c:v>
                </c:pt>
                <c:pt idx="55">
                  <c:v>42.819613509869228</c:v>
                </c:pt>
                <c:pt idx="56">
                  <c:v>28.213310860324128</c:v>
                </c:pt>
                <c:pt idx="57">
                  <c:v>28.856357791851678</c:v>
                </c:pt>
                <c:pt idx="58">
                  <c:v>32.509503541037532</c:v>
                </c:pt>
                <c:pt idx="59">
                  <c:v>36.13905882520546</c:v>
                </c:pt>
                <c:pt idx="60">
                  <c:v>42.863547025446572</c:v>
                </c:pt>
                <c:pt idx="61">
                  <c:v>34.543963455210843</c:v>
                </c:pt>
                <c:pt idx="62">
                  <c:v>20.833658043879868</c:v>
                </c:pt>
                <c:pt idx="63">
                  <c:v>21.014939592383691</c:v>
                </c:pt>
                <c:pt idx="64">
                  <c:v>25.369547601790899</c:v>
                </c:pt>
                <c:pt idx="65">
                  <c:v>37.510906147376723</c:v>
                </c:pt>
                <c:pt idx="66">
                  <c:v>35.629086509343651</c:v>
                </c:pt>
                <c:pt idx="67">
                  <c:v>35.349709305309297</c:v>
                </c:pt>
                <c:pt idx="68">
                  <c:v>33.594994608612112</c:v>
                </c:pt>
                <c:pt idx="69">
                  <c:v>21.830429874465541</c:v>
                </c:pt>
                <c:pt idx="70">
                  <c:v>31.780339128994552</c:v>
                </c:pt>
                <c:pt idx="71">
                  <c:v>29.002436397815529</c:v>
                </c:pt>
                <c:pt idx="72">
                  <c:v>32.124851019620138</c:v>
                </c:pt>
                <c:pt idx="73">
                  <c:v>39.870098609562831</c:v>
                </c:pt>
                <c:pt idx="74">
                  <c:v>28.61134162948003</c:v>
                </c:pt>
                <c:pt idx="75">
                  <c:v>22.71292327512996</c:v>
                </c:pt>
                <c:pt idx="76">
                  <c:v>21.380953935177011</c:v>
                </c:pt>
                <c:pt idx="77">
                  <c:v>42.328424856528947</c:v>
                </c:pt>
                <c:pt idx="78">
                  <c:v>28.856357791851678</c:v>
                </c:pt>
                <c:pt idx="79">
                  <c:v>35.712204079351267</c:v>
                </c:pt>
                <c:pt idx="80">
                  <c:v>22.71292327512996</c:v>
                </c:pt>
                <c:pt idx="81">
                  <c:v>42.863547025446572</c:v>
                </c:pt>
                <c:pt idx="82">
                  <c:v>34.233542912614041</c:v>
                </c:pt>
                <c:pt idx="83">
                  <c:v>41.422284810995777</c:v>
                </c:pt>
                <c:pt idx="84">
                  <c:v>35.14527034142445</c:v>
                </c:pt>
                <c:pt idx="85">
                  <c:v>34.233542912614041</c:v>
                </c:pt>
                <c:pt idx="86">
                  <c:v>34.509555299643331</c:v>
                </c:pt>
                <c:pt idx="87">
                  <c:v>34.093862468973867</c:v>
                </c:pt>
                <c:pt idx="88">
                  <c:v>21.380953935177011</c:v>
                </c:pt>
                <c:pt idx="89">
                  <c:v>27.242540128268349</c:v>
                </c:pt>
                <c:pt idx="90">
                  <c:v>39.870098609562831</c:v>
                </c:pt>
                <c:pt idx="91">
                  <c:v>32.124851019620138</c:v>
                </c:pt>
                <c:pt idx="92">
                  <c:v>21.380953935177011</c:v>
                </c:pt>
                <c:pt idx="93">
                  <c:v>28.61134162948003</c:v>
                </c:pt>
                <c:pt idx="94">
                  <c:v>37.920198615682011</c:v>
                </c:pt>
                <c:pt idx="95">
                  <c:v>15.177312318503819</c:v>
                </c:pt>
                <c:pt idx="96">
                  <c:v>36.040297721835898</c:v>
                </c:pt>
                <c:pt idx="97">
                  <c:v>24.86722617036456</c:v>
                </c:pt>
                <c:pt idx="98">
                  <c:v>25.659829377999021</c:v>
                </c:pt>
                <c:pt idx="99">
                  <c:v>36.13905882520546</c:v>
                </c:pt>
              </c:numCache>
            </c:numRef>
          </c:xVal>
          <c:yVal>
            <c:numRef>
              <c:f>'Linear regression'!$C$2:$C$101</c:f>
              <c:numCache>
                <c:formatCode>0%</c:formatCode>
                <c:ptCount val="100"/>
                <c:pt idx="0">
                  <c:v>0.28936177079024888</c:v>
                </c:pt>
                <c:pt idx="1">
                  <c:v>0.2207370029864176</c:v>
                </c:pt>
                <c:pt idx="2">
                  <c:v>0.25439927348418562</c:v>
                </c:pt>
                <c:pt idx="3">
                  <c:v>0.30629010595447159</c:v>
                </c:pt>
                <c:pt idx="4">
                  <c:v>0.21021883294682961</c:v>
                </c:pt>
                <c:pt idx="5">
                  <c:v>0.29212239699142872</c:v>
                </c:pt>
                <c:pt idx="6">
                  <c:v>0.31072854455321491</c:v>
                </c:pt>
                <c:pt idx="7">
                  <c:v>0.2110494352398164</c:v>
                </c:pt>
                <c:pt idx="8">
                  <c:v>0.27918051659162052</c:v>
                </c:pt>
                <c:pt idx="9">
                  <c:v>0.22284298272060979</c:v>
                </c:pt>
                <c:pt idx="10">
                  <c:v>0.29895452589316301</c:v>
                </c:pt>
                <c:pt idx="11">
                  <c:v>0.35155019849350672</c:v>
                </c:pt>
                <c:pt idx="12">
                  <c:v>0.25465478640020989</c:v>
                </c:pt>
                <c:pt idx="13">
                  <c:v>0.2680229457328035</c:v>
                </c:pt>
                <c:pt idx="14">
                  <c:v>0.35719492828615568</c:v>
                </c:pt>
                <c:pt idx="15">
                  <c:v>0.40987566214717058</c:v>
                </c:pt>
                <c:pt idx="16">
                  <c:v>0.31830109051492927</c:v>
                </c:pt>
                <c:pt idx="17">
                  <c:v>0.17712869665622341</c:v>
                </c:pt>
                <c:pt idx="18">
                  <c:v>0.28515499329898969</c:v>
                </c:pt>
                <c:pt idx="19">
                  <c:v>0.34135721988956752</c:v>
                </c:pt>
                <c:pt idx="20">
                  <c:v>0.25651376000433213</c:v>
                </c:pt>
                <c:pt idx="21">
                  <c:v>0.14962905137318741</c:v>
                </c:pt>
                <c:pt idx="22">
                  <c:v>0.18294062777081871</c:v>
                </c:pt>
                <c:pt idx="23">
                  <c:v>0.27367669906443659</c:v>
                </c:pt>
                <c:pt idx="24">
                  <c:v>0.22479924456866621</c:v>
                </c:pt>
                <c:pt idx="25">
                  <c:v>0.25128814980901171</c:v>
                </c:pt>
                <c:pt idx="26">
                  <c:v>0.34981255561364211</c:v>
                </c:pt>
                <c:pt idx="27">
                  <c:v>0.27568709704055427</c:v>
                </c:pt>
                <c:pt idx="28">
                  <c:v>0.2910865626887707</c:v>
                </c:pt>
                <c:pt idx="29">
                  <c:v>0.25301998160958439</c:v>
                </c:pt>
                <c:pt idx="30">
                  <c:v>0.28087418717400608</c:v>
                </c:pt>
                <c:pt idx="31">
                  <c:v>0.29589157319362352</c:v>
                </c:pt>
                <c:pt idx="32">
                  <c:v>0.3561087509382424</c:v>
                </c:pt>
                <c:pt idx="33">
                  <c:v>0.37607345777717149</c:v>
                </c:pt>
                <c:pt idx="34">
                  <c:v>0.18955232651186979</c:v>
                </c:pt>
                <c:pt idx="35">
                  <c:v>0.28130963365436612</c:v>
                </c:pt>
                <c:pt idx="36">
                  <c:v>0.24905707173957051</c:v>
                </c:pt>
                <c:pt idx="37">
                  <c:v>0.35867859413871878</c:v>
                </c:pt>
                <c:pt idx="38">
                  <c:v>0.32331029713287818</c:v>
                </c:pt>
                <c:pt idx="39">
                  <c:v>0.34656380994048908</c:v>
                </c:pt>
                <c:pt idx="40">
                  <c:v>0.41054204530787919</c:v>
                </c:pt>
                <c:pt idx="41">
                  <c:v>0.45044823315321392</c:v>
                </c:pt>
                <c:pt idx="42">
                  <c:v>0.26813506639730089</c:v>
                </c:pt>
                <c:pt idx="43">
                  <c:v>0.23379175927136131</c:v>
                </c:pt>
                <c:pt idx="44">
                  <c:v>0.36212322494095361</c:v>
                </c:pt>
                <c:pt idx="45">
                  <c:v>0.29718856991396142</c:v>
                </c:pt>
                <c:pt idx="46">
                  <c:v>0.28336942798927012</c:v>
                </c:pt>
                <c:pt idx="47">
                  <c:v>0.34625154351267551</c:v>
                </c:pt>
                <c:pt idx="48">
                  <c:v>0.30257537012267921</c:v>
                </c:pt>
                <c:pt idx="49">
                  <c:v>0.25403672103000408</c:v>
                </c:pt>
                <c:pt idx="50">
                  <c:v>0.3718495870650842</c:v>
                </c:pt>
                <c:pt idx="51">
                  <c:v>0.26525404584659262</c:v>
                </c:pt>
                <c:pt idx="52">
                  <c:v>0.28728976709457338</c:v>
                </c:pt>
                <c:pt idx="53">
                  <c:v>0.35683679596408208</c:v>
                </c:pt>
                <c:pt idx="54">
                  <c:v>0.24060566113363149</c:v>
                </c:pt>
                <c:pt idx="55">
                  <c:v>0.39777191437161191</c:v>
                </c:pt>
                <c:pt idx="56">
                  <c:v>0.33006229745372762</c:v>
                </c:pt>
                <c:pt idx="57">
                  <c:v>0.27643788341618669</c:v>
                </c:pt>
                <c:pt idx="58">
                  <c:v>0.2743413460545816</c:v>
                </c:pt>
                <c:pt idx="59">
                  <c:v>0.34042130162395873</c:v>
                </c:pt>
                <c:pt idx="60">
                  <c:v>0.19223505408993111</c:v>
                </c:pt>
                <c:pt idx="61">
                  <c:v>0.32266433225341751</c:v>
                </c:pt>
                <c:pt idx="62">
                  <c:v>0.18679294537118299</c:v>
                </c:pt>
                <c:pt idx="63">
                  <c:v>0.31044692368482418</c:v>
                </c:pt>
                <c:pt idx="64">
                  <c:v>0.25202637409654721</c:v>
                </c:pt>
                <c:pt idx="65">
                  <c:v>0.37123395995440062</c:v>
                </c:pt>
                <c:pt idx="66">
                  <c:v>0.33292245175206381</c:v>
                </c:pt>
                <c:pt idx="67">
                  <c:v>0.32581869835967092</c:v>
                </c:pt>
                <c:pt idx="68">
                  <c:v>0.30329966544333942</c:v>
                </c:pt>
                <c:pt idx="69">
                  <c:v>0.20414723507989471</c:v>
                </c:pt>
                <c:pt idx="70">
                  <c:v>0.28948886558907888</c:v>
                </c:pt>
                <c:pt idx="71">
                  <c:v>0.28054417581680913</c:v>
                </c:pt>
                <c:pt idx="72">
                  <c:v>0.29284631491392171</c:v>
                </c:pt>
                <c:pt idx="73">
                  <c:v>0.20187766616909419</c:v>
                </c:pt>
                <c:pt idx="74">
                  <c:v>0.2248782794162171</c:v>
                </c:pt>
                <c:pt idx="75">
                  <c:v>0.22107462398711211</c:v>
                </c:pt>
                <c:pt idx="76">
                  <c:v>0.19529177275776979</c:v>
                </c:pt>
                <c:pt idx="77">
                  <c:v>0.25414415926475448</c:v>
                </c:pt>
                <c:pt idx="78">
                  <c:v>0.41063671974599147</c:v>
                </c:pt>
                <c:pt idx="79">
                  <c:v>0.33781935185684459</c:v>
                </c:pt>
                <c:pt idx="80">
                  <c:v>0.28215109754040218</c:v>
                </c:pt>
                <c:pt idx="81">
                  <c:v>0.28620642158906862</c:v>
                </c:pt>
                <c:pt idx="82">
                  <c:v>0.31094851703248888</c:v>
                </c:pt>
                <c:pt idx="83">
                  <c:v>0.36288404833129961</c:v>
                </c:pt>
                <c:pt idx="84">
                  <c:v>0.39096878987349809</c:v>
                </c:pt>
                <c:pt idx="85">
                  <c:v>0.30025139260575129</c:v>
                </c:pt>
                <c:pt idx="86">
                  <c:v>0.31869611368775308</c:v>
                </c:pt>
                <c:pt idx="87">
                  <c:v>0.34442553880212762</c:v>
                </c:pt>
                <c:pt idx="88">
                  <c:v>0.21289820988431221</c:v>
                </c:pt>
                <c:pt idx="89">
                  <c:v>0.27060515784716049</c:v>
                </c:pt>
                <c:pt idx="90">
                  <c:v>0.33856809984859187</c:v>
                </c:pt>
                <c:pt idx="91">
                  <c:v>0.21906150646039199</c:v>
                </c:pt>
                <c:pt idx="92">
                  <c:v>0.24923385254589181</c:v>
                </c:pt>
                <c:pt idx="93">
                  <c:v>0.23429928415438989</c:v>
                </c:pt>
                <c:pt idx="94">
                  <c:v>0.26977427974324081</c:v>
                </c:pt>
                <c:pt idx="95">
                  <c:v>0.1227218508002173</c:v>
                </c:pt>
                <c:pt idx="96">
                  <c:v>0.34288763100419523</c:v>
                </c:pt>
                <c:pt idx="97">
                  <c:v>0.24580046742972819</c:v>
                </c:pt>
                <c:pt idx="98">
                  <c:v>0.26928534750742977</c:v>
                </c:pt>
                <c:pt idx="99">
                  <c:v>0.23183287709095979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4-4B0E-B9D2-F6D399010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003631"/>
        <c:axId val="599009455"/>
      </c:scatterChart>
      <c:valAx>
        <c:axId val="59900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599009455"/>
        <c:crosses val="autoZero"/>
        <c:crossBetween val="midCat"/>
      </c:valAx>
      <c:valAx>
        <c:axId val="5990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I"/>
          </a:p>
        </c:txPr>
        <c:crossAx val="59900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I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Normal Distribution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 Distribution </a:t>
          </a:r>
        </a:p>
      </cx:txPr>
    </cx:title>
    <cx:plotArea>
      <cx:plotAreaRegion>
        <cx:series layoutId="clusteredColumn" uniqueId="{91FC3FAB-108C-48BD-BEFF-51B5CD92965B}">
          <cx:tx>
            <cx:txData>
              <cx:f>_xlchart.v1.0</cx:f>
              <cx:v>This Year PM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Near 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Near Normal Distribution</a:t>
          </a:r>
        </a:p>
      </cx:txPr>
    </cx:title>
    <cx:plotArea>
      <cx:plotAreaRegion>
        <cx:series layoutId="clusteredColumn" uniqueId="{B5A4699B-6D01-4312-9B10-7DBC4F48772F}">
          <cx:tx>
            <cx:txData>
              <cx:f>_xlchart.v1.2</cx:f>
              <cx:v>Previous Year PM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Normal Distribution  of sale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 Distribution  of sale</a:t>
          </a:r>
        </a:p>
      </cx:txPr>
    </cx:title>
    <cx:plotArea>
      <cx:plotAreaRegion>
        <cx:series layoutId="clusteredColumn" uniqueId="{6FDC205A-DC03-4274-90BA-4B896D0BE702}">
          <cx:tx>
            <cx:txData>
              <cx:f>_xlchart.v1.4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Near 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Near Normal Distribution</a:t>
          </a:r>
        </a:p>
      </cx:txPr>
    </cx:title>
    <cx:plotArea>
      <cx:plotAreaRegion>
        <cx:series layoutId="clusteredColumn" uniqueId="{76C1E3E7-F85B-452E-AC4C-FD4E0A372BC9}">
          <cx:tx>
            <cx:txData>
              <cx:f>_xlchart.v1.6</cx:f>
              <cx:v>Quantity Sold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 Distribution</a:t>
          </a:r>
        </a:p>
      </cx:txPr>
    </cx:title>
    <cx:plotArea>
      <cx:plotAreaRegion>
        <cx:series layoutId="clusteredColumn" uniqueId="{9E873113-B5C2-4166-AF85-C83660922321}">
          <cx:tx>
            <cx:txData>
              <cx:f>_xlchart.v1.8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Normal Distribution - Profit Margin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 Distribution - Profit Margin</a:t>
          </a:r>
        </a:p>
      </cx:txPr>
    </cx:title>
    <cx:plotArea>
      <cx:plotAreaRegion>
        <cx:series layoutId="clusteredColumn" uniqueId="{11C5BF59-82BE-4A84-B1D1-C99D8B5DB8B7}">
          <cx:tx>
            <cx:txData>
              <cx:f>_xlchart.v1.10</cx:f>
              <cx:v>Profit Margin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3</xdr:row>
      <xdr:rowOff>19050</xdr:rowOff>
    </xdr:from>
    <xdr:to>
      <xdr:col>9</xdr:col>
      <xdr:colOff>575310</xdr:colOff>
      <xdr:row>16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DF2201-45A3-4B80-AF8C-12ED210B97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7970" y="619125"/>
              <a:ext cx="4663440" cy="2777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V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628650</xdr:colOff>
      <xdr:row>18</xdr:row>
      <xdr:rowOff>87630</xdr:rowOff>
    </xdr:from>
    <xdr:to>
      <xdr:col>9</xdr:col>
      <xdr:colOff>506730</xdr:colOff>
      <xdr:row>32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5B0966D-F0FF-4997-8013-449A4CC255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4150" y="3697605"/>
              <a:ext cx="4678680" cy="2779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V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643890</xdr:colOff>
      <xdr:row>3</xdr:row>
      <xdr:rowOff>49530</xdr:rowOff>
    </xdr:from>
    <xdr:to>
      <xdr:col>9</xdr:col>
      <xdr:colOff>521970</xdr:colOff>
      <xdr:row>17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4F2376E-65B5-492E-9206-302CF87A3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5490" y="649605"/>
              <a:ext cx="4678680" cy="2807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V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697230</xdr:colOff>
      <xdr:row>28</xdr:row>
      <xdr:rowOff>72390</xdr:rowOff>
    </xdr:from>
    <xdr:to>
      <xdr:col>20</xdr:col>
      <xdr:colOff>308610</xdr:colOff>
      <xdr:row>42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92A15C-160D-4BD0-9BA6-12018A621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377190</xdr:colOff>
      <xdr:row>3</xdr:row>
      <xdr:rowOff>3810</xdr:rowOff>
    </xdr:from>
    <xdr:to>
      <xdr:col>9</xdr:col>
      <xdr:colOff>255270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B0C5A2A-7B87-4C71-A9BD-F95E2CA8B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5965" y="603885"/>
              <a:ext cx="4678680" cy="2767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V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247650</xdr:colOff>
      <xdr:row>17</xdr:row>
      <xdr:rowOff>118110</xdr:rowOff>
    </xdr:from>
    <xdr:to>
      <xdr:col>9</xdr:col>
      <xdr:colOff>125730</xdr:colOff>
      <xdr:row>31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73C13CB-E568-4847-9010-BABD389F0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425" y="3518535"/>
              <a:ext cx="4678680" cy="2788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V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461010</xdr:colOff>
      <xdr:row>2</xdr:row>
      <xdr:rowOff>156210</xdr:rowOff>
    </xdr:from>
    <xdr:to>
      <xdr:col>16</xdr:col>
      <xdr:colOff>339090</xdr:colOff>
      <xdr:row>16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A0C9A9-5817-4E17-8340-8DC2442DB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123825</xdr:rowOff>
    </xdr:from>
    <xdr:to>
      <xdr:col>6</xdr:col>
      <xdr:colOff>533400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D6EBE-B2A0-4DC7-A3A7-E7799C194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2</xdr:row>
      <xdr:rowOff>76199</xdr:rowOff>
    </xdr:from>
    <xdr:to>
      <xdr:col>17</xdr:col>
      <xdr:colOff>409575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C950D-CEB2-4A93-8468-24CCC4480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285749</xdr:colOff>
      <xdr:row>20</xdr:row>
      <xdr:rowOff>161925</xdr:rowOff>
    </xdr:from>
    <xdr:to>
      <xdr:col>9</xdr:col>
      <xdr:colOff>257174</xdr:colOff>
      <xdr:row>34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C60649-88ED-45CC-996E-EF9D0664D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582930</xdr:colOff>
      <xdr:row>2</xdr:row>
      <xdr:rowOff>171450</xdr:rowOff>
    </xdr:from>
    <xdr:to>
      <xdr:col>10</xdr:col>
      <xdr:colOff>461010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3A7C8-CCD0-4429-A874-5BE155BF5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506730</xdr:colOff>
      <xdr:row>17</xdr:row>
      <xdr:rowOff>34290</xdr:rowOff>
    </xdr:from>
    <xdr:to>
      <xdr:col>10</xdr:col>
      <xdr:colOff>384810</xdr:colOff>
      <xdr:row>31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3F487-0DAE-458E-938D-0C22C5CCB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453390</xdr:colOff>
      <xdr:row>4</xdr:row>
      <xdr:rowOff>125730</xdr:rowOff>
    </xdr:from>
    <xdr:to>
      <xdr:col>9</xdr:col>
      <xdr:colOff>331470</xdr:colOff>
      <xdr:row>18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D27152-4B22-4571-8613-4E16B66198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4065" y="935355"/>
              <a:ext cx="4678680" cy="2779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V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SHAR/Downloads/data+for+anov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SHAR/Downloads/data+for+cor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SHAR/Downloads/data+for+re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OVA"/>
    </sheetNames>
    <sheetDataSet>
      <sheetData sheetId="0">
        <row r="1">
          <cell r="F1" t="str">
            <v>Region</v>
          </cell>
          <cell r="J1" t="str">
            <v>Sales</v>
          </cell>
        </row>
        <row r="2">
          <cell r="F2" t="str">
            <v>South</v>
          </cell>
          <cell r="J2">
            <v>619.41733832886609</v>
          </cell>
        </row>
        <row r="3">
          <cell r="F3" t="str">
            <v>West</v>
          </cell>
          <cell r="J3">
            <v>886.1339798802187</v>
          </cell>
        </row>
        <row r="4">
          <cell r="F4" t="str">
            <v>South</v>
          </cell>
          <cell r="J4">
            <v>449.13093283360729</v>
          </cell>
        </row>
        <row r="5">
          <cell r="F5" t="str">
            <v>East</v>
          </cell>
          <cell r="J5">
            <v>610.02358125508351</v>
          </cell>
        </row>
        <row r="6">
          <cell r="F6" t="str">
            <v>East</v>
          </cell>
          <cell r="J6">
            <v>364.7761269469521</v>
          </cell>
        </row>
        <row r="7">
          <cell r="F7" t="str">
            <v>East</v>
          </cell>
          <cell r="J7">
            <v>576.61392133806294</v>
          </cell>
        </row>
        <row r="8">
          <cell r="F8" t="str">
            <v>North</v>
          </cell>
          <cell r="J8">
            <v>449.13093283360729</v>
          </cell>
        </row>
        <row r="9">
          <cell r="F9" t="str">
            <v>East</v>
          </cell>
          <cell r="J9">
            <v>372.90517238163818</v>
          </cell>
        </row>
        <row r="10">
          <cell r="F10" t="str">
            <v>North</v>
          </cell>
          <cell r="J10">
            <v>545.77266574920179</v>
          </cell>
        </row>
        <row r="11">
          <cell r="F11" t="str">
            <v>North</v>
          </cell>
          <cell r="J11">
            <v>413.90524534251369</v>
          </cell>
        </row>
        <row r="12">
          <cell r="F12" t="str">
            <v>East</v>
          </cell>
          <cell r="J12">
            <v>600.05114910613997</v>
          </cell>
        </row>
        <row r="13">
          <cell r="F13" t="str">
            <v>West</v>
          </cell>
          <cell r="J13">
            <v>726.81693567394757</v>
          </cell>
        </row>
        <row r="14">
          <cell r="F14" t="str">
            <v>North</v>
          </cell>
          <cell r="J14">
            <v>491.90097738880718</v>
          </cell>
        </row>
        <row r="15">
          <cell r="F15" t="str">
            <v>West</v>
          </cell>
          <cell r="J15">
            <v>497.81317760107709</v>
          </cell>
        </row>
        <row r="16">
          <cell r="F16" t="str">
            <v>West</v>
          </cell>
          <cell r="J16">
            <v>734.54360210915809</v>
          </cell>
        </row>
        <row r="17">
          <cell r="F17" t="str">
            <v>East</v>
          </cell>
          <cell r="J17">
            <v>610.02358125508351</v>
          </cell>
        </row>
        <row r="18">
          <cell r="F18" t="str">
            <v>North</v>
          </cell>
          <cell r="J18">
            <v>614.24978057956264</v>
          </cell>
        </row>
        <row r="19">
          <cell r="F19" t="str">
            <v>North</v>
          </cell>
          <cell r="J19">
            <v>291.05760965024848</v>
          </cell>
        </row>
        <row r="20">
          <cell r="F20" t="str">
            <v>South</v>
          </cell>
          <cell r="J20">
            <v>696.81069761586082</v>
          </cell>
        </row>
        <row r="21">
          <cell r="F21" t="str">
            <v>North</v>
          </cell>
          <cell r="J21">
            <v>551.57500310812304</v>
          </cell>
        </row>
        <row r="22">
          <cell r="F22" t="str">
            <v>North</v>
          </cell>
          <cell r="J22">
            <v>495.58882510192927</v>
          </cell>
        </row>
        <row r="23">
          <cell r="F23" t="str">
            <v>South</v>
          </cell>
          <cell r="J23">
            <v>252.880529766411</v>
          </cell>
        </row>
        <row r="24">
          <cell r="F24" t="str">
            <v>North</v>
          </cell>
          <cell r="J24">
            <v>294.05947140624812</v>
          </cell>
        </row>
        <row r="25">
          <cell r="F25" t="str">
            <v>South</v>
          </cell>
          <cell r="J25">
            <v>521.92242249612491</v>
          </cell>
        </row>
        <row r="26">
          <cell r="F26" t="str">
            <v>East</v>
          </cell>
          <cell r="J26">
            <v>415.68001582094871</v>
          </cell>
        </row>
        <row r="27">
          <cell r="F27" t="str">
            <v>South</v>
          </cell>
          <cell r="J27">
            <v>463.17255028533771</v>
          </cell>
        </row>
        <row r="28">
          <cell r="F28" t="str">
            <v>West</v>
          </cell>
          <cell r="J28">
            <v>720.91010268149512</v>
          </cell>
        </row>
        <row r="29">
          <cell r="F29" t="str">
            <v>North</v>
          </cell>
          <cell r="J29">
            <v>830.13369852249514</v>
          </cell>
        </row>
        <row r="30">
          <cell r="F30" t="str">
            <v>South</v>
          </cell>
          <cell r="J30">
            <v>573.45234536559701</v>
          </cell>
        </row>
        <row r="31">
          <cell r="F31" t="str">
            <v>East</v>
          </cell>
          <cell r="J31">
            <v>473.55217273725202</v>
          </cell>
        </row>
        <row r="32">
          <cell r="F32" t="str">
            <v>South</v>
          </cell>
          <cell r="J32">
            <v>545.77266574920179</v>
          </cell>
        </row>
        <row r="33">
          <cell r="F33" t="str">
            <v>South</v>
          </cell>
          <cell r="J33">
            <v>375.22752388249648</v>
          </cell>
        </row>
        <row r="34">
          <cell r="F34" t="str">
            <v>West</v>
          </cell>
          <cell r="J34">
            <v>610.02358125508351</v>
          </cell>
        </row>
        <row r="35">
          <cell r="F35" t="str">
            <v>East</v>
          </cell>
          <cell r="J35">
            <v>830.13369852249514</v>
          </cell>
        </row>
        <row r="36">
          <cell r="F36" t="str">
            <v>East</v>
          </cell>
          <cell r="J36">
            <v>307.91532286630729</v>
          </cell>
        </row>
        <row r="37">
          <cell r="F37" t="str">
            <v>North</v>
          </cell>
          <cell r="J37">
            <v>557.79180936942089</v>
          </cell>
        </row>
        <row r="38">
          <cell r="F38" t="str">
            <v>East</v>
          </cell>
          <cell r="J38">
            <v>449.13093283360729</v>
          </cell>
        </row>
        <row r="39">
          <cell r="F39" t="str">
            <v>North</v>
          </cell>
          <cell r="J39">
            <v>734.54360210915809</v>
          </cell>
        </row>
        <row r="40">
          <cell r="F40" t="str">
            <v>North</v>
          </cell>
          <cell r="J40">
            <v>252.880529766411</v>
          </cell>
        </row>
        <row r="41">
          <cell r="F41" t="str">
            <v>South</v>
          </cell>
          <cell r="J41">
            <v>708.1677590396705</v>
          </cell>
        </row>
        <row r="42">
          <cell r="F42" t="str">
            <v>North</v>
          </cell>
          <cell r="J42">
            <v>447.27848635895299</v>
          </cell>
        </row>
        <row r="43">
          <cell r="F43" t="str">
            <v>West</v>
          </cell>
          <cell r="J43">
            <v>890.46319359814106</v>
          </cell>
        </row>
        <row r="44">
          <cell r="F44" t="str">
            <v>South</v>
          </cell>
          <cell r="J44">
            <v>503.2671201808941</v>
          </cell>
        </row>
        <row r="45">
          <cell r="F45" t="str">
            <v>West</v>
          </cell>
          <cell r="J45">
            <v>421.88563910474119</v>
          </cell>
        </row>
        <row r="46">
          <cell r="F46" t="str">
            <v>East</v>
          </cell>
          <cell r="J46">
            <v>291.05760965024848</v>
          </cell>
        </row>
        <row r="47">
          <cell r="F47" t="str">
            <v>North</v>
          </cell>
          <cell r="J47">
            <v>596.96015524763516</v>
          </cell>
        </row>
        <row r="48">
          <cell r="F48" t="str">
            <v>West</v>
          </cell>
          <cell r="J48">
            <v>559.97758335747517</v>
          </cell>
        </row>
        <row r="49">
          <cell r="F49" t="str">
            <v>South</v>
          </cell>
          <cell r="J49">
            <v>696.81069761586082</v>
          </cell>
        </row>
        <row r="50">
          <cell r="F50" t="str">
            <v>East</v>
          </cell>
          <cell r="J50">
            <v>606.72437794032601</v>
          </cell>
        </row>
        <row r="51">
          <cell r="F51" t="str">
            <v>East</v>
          </cell>
          <cell r="J51">
            <v>484.28885475832197</v>
          </cell>
        </row>
        <row r="52">
          <cell r="F52" t="str">
            <v>South</v>
          </cell>
          <cell r="J52">
            <v>504.65458741369969</v>
          </cell>
        </row>
        <row r="53">
          <cell r="F53" t="str">
            <v>North</v>
          </cell>
          <cell r="J53">
            <v>496.06702576891882</v>
          </cell>
        </row>
        <row r="54">
          <cell r="F54" t="str">
            <v>North</v>
          </cell>
          <cell r="J54">
            <v>569.036813905543</v>
          </cell>
        </row>
        <row r="55">
          <cell r="F55" t="str">
            <v>South</v>
          </cell>
          <cell r="J55">
            <v>523.01127462814736</v>
          </cell>
        </row>
        <row r="56">
          <cell r="F56" t="str">
            <v>South</v>
          </cell>
          <cell r="J56">
            <v>438.67524693903368</v>
          </cell>
        </row>
        <row r="57">
          <cell r="F57" t="str">
            <v>South</v>
          </cell>
          <cell r="J57">
            <v>830.13369852249514</v>
          </cell>
        </row>
        <row r="58">
          <cell r="F58" t="str">
            <v>South</v>
          </cell>
          <cell r="J58">
            <v>497.81317760107709</v>
          </cell>
        </row>
        <row r="59">
          <cell r="F59" t="str">
            <v>North</v>
          </cell>
          <cell r="J59">
            <v>375.22752388249648</v>
          </cell>
        </row>
        <row r="60">
          <cell r="F60" t="str">
            <v>South</v>
          </cell>
          <cell r="J60">
            <v>523.01127462814736</v>
          </cell>
        </row>
        <row r="61">
          <cell r="F61" t="str">
            <v>East</v>
          </cell>
          <cell r="J61">
            <v>504.65458741369969</v>
          </cell>
        </row>
        <row r="62">
          <cell r="F62" t="str">
            <v>East</v>
          </cell>
          <cell r="J62">
            <v>319.56344705841639</v>
          </cell>
        </row>
        <row r="63">
          <cell r="F63" t="str">
            <v>East</v>
          </cell>
          <cell r="J63">
            <v>619.41733832886609</v>
          </cell>
        </row>
        <row r="64">
          <cell r="F64" t="str">
            <v>West</v>
          </cell>
          <cell r="J64">
            <v>305.47024795509333</v>
          </cell>
        </row>
        <row r="65">
          <cell r="F65" t="str">
            <v>East</v>
          </cell>
          <cell r="J65">
            <v>521.92242249612491</v>
          </cell>
        </row>
        <row r="66">
          <cell r="F66" t="str">
            <v>South</v>
          </cell>
          <cell r="J66">
            <v>473.37922936466907</v>
          </cell>
        </row>
        <row r="67">
          <cell r="F67" t="str">
            <v>East</v>
          </cell>
          <cell r="J67">
            <v>619.41733832886609</v>
          </cell>
        </row>
        <row r="68">
          <cell r="F68" t="str">
            <v>West</v>
          </cell>
          <cell r="J68">
            <v>659.36358432663053</v>
          </cell>
        </row>
        <row r="69">
          <cell r="F69" t="str">
            <v>North</v>
          </cell>
          <cell r="J69">
            <v>648.04278931605404</v>
          </cell>
        </row>
        <row r="70">
          <cell r="F70" t="str">
            <v>South</v>
          </cell>
          <cell r="J70">
            <v>608.0353746788893</v>
          </cell>
        </row>
        <row r="71">
          <cell r="F71" t="str">
            <v>South</v>
          </cell>
          <cell r="J71">
            <v>362.0806959925111</v>
          </cell>
        </row>
        <row r="72">
          <cell r="F72" t="str">
            <v>North</v>
          </cell>
          <cell r="J72">
            <v>573.24211385453748</v>
          </cell>
        </row>
        <row r="73">
          <cell r="F73" t="str">
            <v>North</v>
          </cell>
          <cell r="J73">
            <v>551.57500310812304</v>
          </cell>
        </row>
        <row r="74">
          <cell r="F74" t="str">
            <v>West</v>
          </cell>
          <cell r="J74">
            <v>581.24124671152902</v>
          </cell>
        </row>
        <row r="75">
          <cell r="F75" t="str">
            <v>East</v>
          </cell>
          <cell r="J75">
            <v>551.57500310812304</v>
          </cell>
        </row>
        <row r="76">
          <cell r="F76" t="str">
            <v>North</v>
          </cell>
          <cell r="J76">
            <v>545.77266574920179</v>
          </cell>
        </row>
        <row r="77">
          <cell r="F77" t="str">
            <v>North</v>
          </cell>
          <cell r="J77">
            <v>403.40831801853841</v>
          </cell>
        </row>
        <row r="78">
          <cell r="F78" t="str">
            <v>North</v>
          </cell>
          <cell r="J78">
            <v>886.1339798802187</v>
          </cell>
        </row>
        <row r="79">
          <cell r="F79" t="str">
            <v>South</v>
          </cell>
          <cell r="J79">
            <v>726.81693567394757</v>
          </cell>
        </row>
        <row r="80">
          <cell r="F80" t="str">
            <v>South</v>
          </cell>
          <cell r="J80">
            <v>886.1339798802187</v>
          </cell>
        </row>
        <row r="81">
          <cell r="F81" t="str">
            <v>South</v>
          </cell>
          <cell r="J81">
            <v>664.15565877204904</v>
          </cell>
        </row>
        <row r="82">
          <cell r="F82" t="str">
            <v>North</v>
          </cell>
          <cell r="J82">
            <v>558.42480133446179</v>
          </cell>
        </row>
        <row r="83">
          <cell r="F83" t="str">
            <v>North</v>
          </cell>
          <cell r="J83">
            <v>569.036813905543</v>
          </cell>
        </row>
        <row r="84">
          <cell r="F84" t="str">
            <v>West</v>
          </cell>
          <cell r="J84">
            <v>252.880529766411</v>
          </cell>
        </row>
        <row r="85">
          <cell r="F85" t="str">
            <v>West</v>
          </cell>
          <cell r="J85">
            <v>773.23782906934002</v>
          </cell>
        </row>
        <row r="86">
          <cell r="F86" t="str">
            <v>South</v>
          </cell>
          <cell r="J86">
            <v>817.8805740858752</v>
          </cell>
        </row>
        <row r="87">
          <cell r="F87" t="str">
            <v>West</v>
          </cell>
          <cell r="J87">
            <v>603.45495957616026</v>
          </cell>
        </row>
        <row r="88">
          <cell r="F88" t="str">
            <v>East</v>
          </cell>
          <cell r="J88">
            <v>518.08895796790466</v>
          </cell>
        </row>
        <row r="89">
          <cell r="F89" t="str">
            <v>West</v>
          </cell>
          <cell r="J89">
            <v>307.91532286630729</v>
          </cell>
        </row>
        <row r="90">
          <cell r="F90" t="str">
            <v>South</v>
          </cell>
          <cell r="J90">
            <v>375.22752388249648</v>
          </cell>
        </row>
        <row r="91">
          <cell r="F91" t="str">
            <v>North</v>
          </cell>
          <cell r="J91">
            <v>519.22626043512992</v>
          </cell>
        </row>
        <row r="92">
          <cell r="F92" t="str">
            <v>East</v>
          </cell>
          <cell r="J92">
            <v>291.05760965024848</v>
          </cell>
        </row>
        <row r="93">
          <cell r="F93" t="str">
            <v>West</v>
          </cell>
          <cell r="J93">
            <v>389.38710677341862</v>
          </cell>
        </row>
        <row r="94">
          <cell r="F94" t="str">
            <v>West</v>
          </cell>
          <cell r="J94">
            <v>454.85168594785551</v>
          </cell>
        </row>
        <row r="95">
          <cell r="F95" t="str">
            <v>North</v>
          </cell>
          <cell r="J95">
            <v>521.92242249612491</v>
          </cell>
        </row>
        <row r="96">
          <cell r="F96" t="str">
            <v>East</v>
          </cell>
          <cell r="J96">
            <v>518.08895796790466</v>
          </cell>
        </row>
        <row r="97">
          <cell r="F97" t="str">
            <v>South</v>
          </cell>
          <cell r="J97">
            <v>167.05152762488819</v>
          </cell>
        </row>
        <row r="98">
          <cell r="F98" t="str">
            <v>South</v>
          </cell>
          <cell r="J98">
            <v>734.54360210915809</v>
          </cell>
        </row>
        <row r="99">
          <cell r="F99" t="str">
            <v>North</v>
          </cell>
          <cell r="J99">
            <v>447.27848635895299</v>
          </cell>
        </row>
        <row r="100">
          <cell r="F100" t="str">
            <v>South</v>
          </cell>
          <cell r="J100">
            <v>504.65458741369969</v>
          </cell>
        </row>
        <row r="101">
          <cell r="F101" t="str">
            <v>West</v>
          </cell>
          <cell r="J101">
            <v>419.38042762271778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orr"/>
      <sheetName val="Sheet1"/>
    </sheetNames>
    <sheetDataSet>
      <sheetData sheetId="0">
        <row r="1">
          <cell r="J1" t="str">
            <v>Sales</v>
          </cell>
          <cell r="K1" t="str">
            <v>Quantity Sold</v>
          </cell>
        </row>
        <row r="2">
          <cell r="J2">
            <v>619.41733832886609</v>
          </cell>
          <cell r="K2">
            <v>36.148044477110183</v>
          </cell>
        </row>
        <row r="3">
          <cell r="J3">
            <v>886.1339798802187</v>
          </cell>
          <cell r="K3">
            <v>22.67066139610537</v>
          </cell>
        </row>
        <row r="4">
          <cell r="J4">
            <v>449.13093283360729</v>
          </cell>
          <cell r="K4">
            <v>25.659829377999021</v>
          </cell>
        </row>
        <row r="5">
          <cell r="J5">
            <v>610.02358125508351</v>
          </cell>
          <cell r="K5">
            <v>22.71292327512996</v>
          </cell>
        </row>
        <row r="6">
          <cell r="J6">
            <v>364.7761269469521</v>
          </cell>
          <cell r="K6">
            <v>22.17917729923893</v>
          </cell>
        </row>
        <row r="7">
          <cell r="J7">
            <v>576.61392133806294</v>
          </cell>
          <cell r="K7">
            <v>32.112950746165673</v>
          </cell>
        </row>
        <row r="8">
          <cell r="J8">
            <v>449.13093283360729</v>
          </cell>
          <cell r="K8">
            <v>34.168209673514582</v>
          </cell>
        </row>
        <row r="9">
          <cell r="J9">
            <v>372.90517238163818</v>
          </cell>
          <cell r="K9">
            <v>32.509503541037532</v>
          </cell>
        </row>
        <row r="10">
          <cell r="J10">
            <v>545.77266574920179</v>
          </cell>
          <cell r="K10">
            <v>28.966599379394442</v>
          </cell>
        </row>
        <row r="11">
          <cell r="J11">
            <v>413.90524534251369</v>
          </cell>
          <cell r="K11">
            <v>22.800456610910508</v>
          </cell>
        </row>
        <row r="12">
          <cell r="J12">
            <v>600.05114910613997</v>
          </cell>
          <cell r="K12">
            <v>37.920198615682011</v>
          </cell>
        </row>
        <row r="13">
          <cell r="J13">
            <v>726.81693567394757</v>
          </cell>
          <cell r="K13">
            <v>34.168209673514582</v>
          </cell>
        </row>
        <row r="14">
          <cell r="J14">
            <v>491.90097738880718</v>
          </cell>
          <cell r="K14">
            <v>34.509555299643331</v>
          </cell>
        </row>
        <row r="15">
          <cell r="J15">
            <v>497.81317760107709</v>
          </cell>
          <cell r="K15">
            <v>34.233542912614041</v>
          </cell>
        </row>
        <row r="16">
          <cell r="J16">
            <v>734.54360210915809</v>
          </cell>
          <cell r="K16">
            <v>38.91018632957595</v>
          </cell>
        </row>
        <row r="17">
          <cell r="J17">
            <v>610.02358125508351</v>
          </cell>
          <cell r="K17">
            <v>42.863547025446572</v>
          </cell>
        </row>
        <row r="18">
          <cell r="J18">
            <v>614.24978057956264</v>
          </cell>
          <cell r="K18">
            <v>34.481965046749572</v>
          </cell>
        </row>
        <row r="19">
          <cell r="J19">
            <v>291.05760965024848</v>
          </cell>
          <cell r="K19">
            <v>19.701526021482589</v>
          </cell>
        </row>
        <row r="20">
          <cell r="J20">
            <v>696.81069761586082</v>
          </cell>
          <cell r="K20">
            <v>30.21220372182901</v>
          </cell>
        </row>
        <row r="21">
          <cell r="J21">
            <v>551.57500310812304</v>
          </cell>
          <cell r="K21">
            <v>42.328424856528947</v>
          </cell>
        </row>
        <row r="22">
          <cell r="J22">
            <v>495.58882510192927</v>
          </cell>
          <cell r="K22">
            <v>25.761026144140789</v>
          </cell>
        </row>
        <row r="23">
          <cell r="J23">
            <v>252.880529766411</v>
          </cell>
          <cell r="K23">
            <v>32.124851019620138</v>
          </cell>
        </row>
        <row r="24">
          <cell r="J24">
            <v>294.05947140624812</v>
          </cell>
          <cell r="K24">
            <v>42.450393069510469</v>
          </cell>
        </row>
        <row r="25">
          <cell r="J25">
            <v>521.92242249612491</v>
          </cell>
          <cell r="K25">
            <v>27.640040591643441</v>
          </cell>
        </row>
        <row r="26">
          <cell r="J26">
            <v>415.68001582094871</v>
          </cell>
          <cell r="K26">
            <v>23.1050477214369</v>
          </cell>
        </row>
        <row r="27">
          <cell r="J27">
            <v>463.17255028533771</v>
          </cell>
          <cell r="K27">
            <v>25.06958002405791</v>
          </cell>
        </row>
        <row r="28">
          <cell r="J28">
            <v>720.91010268149512</v>
          </cell>
          <cell r="K28">
            <v>37.446775253972348</v>
          </cell>
        </row>
        <row r="29">
          <cell r="J29">
            <v>830.13369852249514</v>
          </cell>
          <cell r="K29">
            <v>34.093862468973867</v>
          </cell>
        </row>
        <row r="30">
          <cell r="J30">
            <v>573.45234536559701</v>
          </cell>
          <cell r="K30">
            <v>31.988254494707039</v>
          </cell>
        </row>
        <row r="31">
          <cell r="J31">
            <v>473.55217273725202</v>
          </cell>
          <cell r="K31">
            <v>25.403001481665331</v>
          </cell>
        </row>
        <row r="32">
          <cell r="J32">
            <v>545.77266574920179</v>
          </cell>
          <cell r="K32">
            <v>42.957474570995288</v>
          </cell>
        </row>
        <row r="33">
          <cell r="J33">
            <v>375.22752388249648</v>
          </cell>
          <cell r="K33">
            <v>32.509503541037532</v>
          </cell>
        </row>
        <row r="34">
          <cell r="J34">
            <v>610.02358125508351</v>
          </cell>
          <cell r="K34">
            <v>37.920198615682011</v>
          </cell>
        </row>
        <row r="35">
          <cell r="J35">
            <v>830.13369852249514</v>
          </cell>
          <cell r="K35">
            <v>23.33189768406957</v>
          </cell>
        </row>
        <row r="36">
          <cell r="J36">
            <v>307.91532286630729</v>
          </cell>
          <cell r="K36">
            <v>28.213310860324128</v>
          </cell>
        </row>
        <row r="37">
          <cell r="J37">
            <v>557.79180936942089</v>
          </cell>
          <cell r="K37">
            <v>29.54505596450246</v>
          </cell>
        </row>
        <row r="38">
          <cell r="J38">
            <v>449.13093283360729</v>
          </cell>
          <cell r="K38">
            <v>42.450393069510469</v>
          </cell>
        </row>
        <row r="39">
          <cell r="J39">
            <v>734.54360210915809</v>
          </cell>
          <cell r="K39">
            <v>36.148044477110183</v>
          </cell>
        </row>
        <row r="40">
          <cell r="J40">
            <v>252.880529766411</v>
          </cell>
          <cell r="K40">
            <v>35.14527034142445</v>
          </cell>
        </row>
        <row r="41">
          <cell r="J41">
            <v>708.1677590396705</v>
          </cell>
          <cell r="K41">
            <v>36.462644721053408</v>
          </cell>
        </row>
        <row r="42">
          <cell r="J42">
            <v>447.27848635895299</v>
          </cell>
          <cell r="K42">
            <v>42.957474570995288</v>
          </cell>
        </row>
        <row r="43">
          <cell r="J43">
            <v>890.46319359814106</v>
          </cell>
          <cell r="K43">
            <v>28.856357791851678</v>
          </cell>
        </row>
        <row r="44">
          <cell r="J44">
            <v>503.2671201808941</v>
          </cell>
          <cell r="K44">
            <v>26.96311664321771</v>
          </cell>
        </row>
        <row r="45">
          <cell r="J45">
            <v>421.88563910474119</v>
          </cell>
          <cell r="K45">
            <v>24.258495432968651</v>
          </cell>
        </row>
        <row r="46">
          <cell r="J46">
            <v>291.05760965024848</v>
          </cell>
          <cell r="K46">
            <v>30.21220372182901</v>
          </cell>
        </row>
        <row r="47">
          <cell r="J47">
            <v>596.96015524763516</v>
          </cell>
          <cell r="K47">
            <v>32.640044751077639</v>
          </cell>
        </row>
        <row r="48">
          <cell r="J48">
            <v>559.97758335747517</v>
          </cell>
          <cell r="K48">
            <v>30.116527726833709</v>
          </cell>
        </row>
        <row r="49">
          <cell r="J49">
            <v>696.81069761586082</v>
          </cell>
          <cell r="K49">
            <v>36.329472046171738</v>
          </cell>
        </row>
        <row r="50">
          <cell r="J50">
            <v>606.72437794032601</v>
          </cell>
          <cell r="K50">
            <v>33.488511070211693</v>
          </cell>
        </row>
        <row r="51">
          <cell r="J51">
            <v>484.28885475832197</v>
          </cell>
          <cell r="K51">
            <v>22.67066139610537</v>
          </cell>
        </row>
        <row r="52">
          <cell r="J52">
            <v>504.65458741369969</v>
          </cell>
          <cell r="K52">
            <v>42.450393069510469</v>
          </cell>
        </row>
        <row r="53">
          <cell r="J53">
            <v>496.06702576891882</v>
          </cell>
          <cell r="K53">
            <v>26.6797836620513</v>
          </cell>
        </row>
        <row r="54">
          <cell r="J54">
            <v>569.036813905543</v>
          </cell>
          <cell r="K54">
            <v>37.510906147376723</v>
          </cell>
        </row>
        <row r="55">
          <cell r="J55">
            <v>523.01127462814736</v>
          </cell>
          <cell r="K55">
            <v>21.014939592383691</v>
          </cell>
        </row>
        <row r="56">
          <cell r="J56">
            <v>438.67524693903368</v>
          </cell>
          <cell r="K56">
            <v>25.659829377999021</v>
          </cell>
        </row>
        <row r="57">
          <cell r="J57">
            <v>830.13369852249514</v>
          </cell>
          <cell r="K57">
            <v>42.819613509869228</v>
          </cell>
        </row>
        <row r="58">
          <cell r="J58">
            <v>497.81317760107709</v>
          </cell>
          <cell r="K58">
            <v>28.213310860324128</v>
          </cell>
        </row>
        <row r="59">
          <cell r="J59">
            <v>375.22752388249648</v>
          </cell>
          <cell r="K59">
            <v>28.856357791851678</v>
          </cell>
        </row>
        <row r="60">
          <cell r="J60">
            <v>523.01127462814736</v>
          </cell>
          <cell r="K60">
            <v>32.509503541037532</v>
          </cell>
        </row>
        <row r="61">
          <cell r="J61">
            <v>504.65458741369969</v>
          </cell>
          <cell r="K61">
            <v>36.13905882520546</v>
          </cell>
        </row>
        <row r="62">
          <cell r="J62">
            <v>319.56344705841639</v>
          </cell>
          <cell r="K62">
            <v>42.863547025446572</v>
          </cell>
        </row>
        <row r="63">
          <cell r="J63">
            <v>619.41733832886609</v>
          </cell>
          <cell r="K63">
            <v>34.543963455210843</v>
          </cell>
        </row>
        <row r="64">
          <cell r="J64">
            <v>305.47024795509333</v>
          </cell>
          <cell r="K64">
            <v>20.833658043879868</v>
          </cell>
        </row>
        <row r="65">
          <cell r="J65">
            <v>521.92242249612491</v>
          </cell>
          <cell r="K65">
            <v>21.014939592383691</v>
          </cell>
        </row>
        <row r="66">
          <cell r="J66">
            <v>473.37922936466907</v>
          </cell>
          <cell r="K66">
            <v>25.369547601790899</v>
          </cell>
        </row>
        <row r="67">
          <cell r="J67">
            <v>619.41733832886609</v>
          </cell>
          <cell r="K67">
            <v>37.510906147376723</v>
          </cell>
        </row>
        <row r="68">
          <cell r="J68">
            <v>659.36358432663053</v>
          </cell>
          <cell r="K68">
            <v>35.629086509343651</v>
          </cell>
        </row>
        <row r="69">
          <cell r="J69">
            <v>648.04278931605404</v>
          </cell>
          <cell r="K69">
            <v>35.349709305309297</v>
          </cell>
        </row>
        <row r="70">
          <cell r="J70">
            <v>608.0353746788893</v>
          </cell>
          <cell r="K70">
            <v>33.594994608612112</v>
          </cell>
        </row>
        <row r="71">
          <cell r="J71">
            <v>362.0806959925111</v>
          </cell>
          <cell r="K71">
            <v>21.830429874465541</v>
          </cell>
        </row>
        <row r="72">
          <cell r="J72">
            <v>573.24211385453748</v>
          </cell>
          <cell r="K72">
            <v>31.780339128994552</v>
          </cell>
        </row>
        <row r="73">
          <cell r="J73">
            <v>551.57500310812304</v>
          </cell>
          <cell r="K73">
            <v>29.002436397815529</v>
          </cell>
        </row>
        <row r="74">
          <cell r="J74">
            <v>581.24124671152902</v>
          </cell>
          <cell r="K74">
            <v>32.124851019620138</v>
          </cell>
        </row>
        <row r="75">
          <cell r="J75">
            <v>551.57500310812304</v>
          </cell>
          <cell r="K75">
            <v>39.870098609562831</v>
          </cell>
        </row>
        <row r="76">
          <cell r="J76">
            <v>545.77266574920179</v>
          </cell>
          <cell r="K76">
            <v>28.61134162948003</v>
          </cell>
        </row>
        <row r="77">
          <cell r="J77">
            <v>403.40831801853841</v>
          </cell>
          <cell r="K77">
            <v>22.71292327512996</v>
          </cell>
        </row>
        <row r="78">
          <cell r="J78">
            <v>886.1339798802187</v>
          </cell>
          <cell r="K78">
            <v>21.380953935177011</v>
          </cell>
        </row>
        <row r="79">
          <cell r="J79">
            <v>726.81693567394757</v>
          </cell>
          <cell r="K79">
            <v>42.328424856528947</v>
          </cell>
        </row>
        <row r="80">
          <cell r="J80">
            <v>886.1339798802187</v>
          </cell>
          <cell r="K80">
            <v>28.856357791851678</v>
          </cell>
        </row>
        <row r="81">
          <cell r="J81">
            <v>664.15565877204904</v>
          </cell>
          <cell r="K81">
            <v>35.712204079351267</v>
          </cell>
        </row>
        <row r="82">
          <cell r="J82">
            <v>558.42480133446179</v>
          </cell>
          <cell r="K82">
            <v>22.71292327512996</v>
          </cell>
        </row>
        <row r="83">
          <cell r="J83">
            <v>569.036813905543</v>
          </cell>
          <cell r="K83">
            <v>42.863547025446572</v>
          </cell>
        </row>
        <row r="84">
          <cell r="J84">
            <v>252.880529766411</v>
          </cell>
          <cell r="K84">
            <v>34.233542912614041</v>
          </cell>
        </row>
        <row r="85">
          <cell r="J85">
            <v>773.23782906934002</v>
          </cell>
          <cell r="K85">
            <v>41.422284810995777</v>
          </cell>
        </row>
        <row r="86">
          <cell r="J86">
            <v>817.8805740858752</v>
          </cell>
          <cell r="K86">
            <v>35.14527034142445</v>
          </cell>
        </row>
        <row r="87">
          <cell r="J87">
            <v>603.45495957616026</v>
          </cell>
          <cell r="K87">
            <v>34.233542912614041</v>
          </cell>
        </row>
        <row r="88">
          <cell r="J88">
            <v>518.08895796790466</v>
          </cell>
          <cell r="K88">
            <v>34.509555299643331</v>
          </cell>
        </row>
        <row r="89">
          <cell r="J89">
            <v>307.91532286630729</v>
          </cell>
          <cell r="K89">
            <v>34.093862468973867</v>
          </cell>
        </row>
        <row r="90">
          <cell r="J90">
            <v>375.22752388249648</v>
          </cell>
          <cell r="K90">
            <v>21.380953935177011</v>
          </cell>
        </row>
        <row r="91">
          <cell r="J91">
            <v>519.22626043512992</v>
          </cell>
          <cell r="K91">
            <v>27.242540128268349</v>
          </cell>
        </row>
        <row r="92">
          <cell r="J92">
            <v>291.05760965024848</v>
          </cell>
          <cell r="K92">
            <v>39.870098609562831</v>
          </cell>
        </row>
        <row r="93">
          <cell r="J93">
            <v>389.38710677341862</v>
          </cell>
          <cell r="K93">
            <v>32.124851019620138</v>
          </cell>
        </row>
        <row r="94">
          <cell r="J94">
            <v>454.85168594785551</v>
          </cell>
          <cell r="K94">
            <v>21.380953935177011</v>
          </cell>
        </row>
        <row r="95">
          <cell r="J95">
            <v>521.92242249612491</v>
          </cell>
          <cell r="K95">
            <v>28.61134162948003</v>
          </cell>
        </row>
        <row r="96">
          <cell r="J96">
            <v>518.08895796790466</v>
          </cell>
          <cell r="K96">
            <v>37.920198615682011</v>
          </cell>
        </row>
        <row r="97">
          <cell r="J97">
            <v>167.05152762488819</v>
          </cell>
          <cell r="K97">
            <v>15.177312318503819</v>
          </cell>
        </row>
        <row r="98">
          <cell r="J98">
            <v>734.54360210915809</v>
          </cell>
          <cell r="K98">
            <v>36.040297721835898</v>
          </cell>
        </row>
        <row r="99">
          <cell r="J99">
            <v>447.27848635895299</v>
          </cell>
          <cell r="K99">
            <v>24.86722617036456</v>
          </cell>
        </row>
        <row r="100">
          <cell r="J100">
            <v>504.65458741369969</v>
          </cell>
          <cell r="K100">
            <v>25.659829377999021</v>
          </cell>
        </row>
        <row r="101">
          <cell r="J101">
            <v>419.38042762271778</v>
          </cell>
          <cell r="K101">
            <v>36.13905882520546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g"/>
    </sheetNames>
    <sheetDataSet>
      <sheetData sheetId="0">
        <row r="1">
          <cell r="J1" t="str">
            <v>Sales</v>
          </cell>
          <cell r="K1" t="str">
            <v>Quantity Sold</v>
          </cell>
          <cell r="N1" t="str">
            <v>Profit Margin</v>
          </cell>
        </row>
        <row r="2">
          <cell r="J2">
            <v>619.41733832886609</v>
          </cell>
          <cell r="K2">
            <v>36.148044477110183</v>
          </cell>
          <cell r="N2">
            <v>0.28936177079024888</v>
          </cell>
        </row>
        <row r="3">
          <cell r="J3">
            <v>886.1339798802187</v>
          </cell>
          <cell r="K3">
            <v>22.67066139610537</v>
          </cell>
          <cell r="N3">
            <v>0.2207370029864176</v>
          </cell>
        </row>
        <row r="4">
          <cell r="J4">
            <v>449.13093283360729</v>
          </cell>
          <cell r="K4">
            <v>25.659829377999021</v>
          </cell>
          <cell r="N4">
            <v>0.25439927348418562</v>
          </cell>
        </row>
        <row r="5">
          <cell r="J5">
            <v>610.02358125508351</v>
          </cell>
          <cell r="K5">
            <v>22.71292327512996</v>
          </cell>
          <cell r="N5">
            <v>0.30629010595447159</v>
          </cell>
        </row>
        <row r="6">
          <cell r="J6">
            <v>364.7761269469521</v>
          </cell>
          <cell r="K6">
            <v>22.17917729923893</v>
          </cell>
          <cell r="N6">
            <v>0.21021883294682961</v>
          </cell>
        </row>
        <row r="7">
          <cell r="J7">
            <v>576.61392133806294</v>
          </cell>
          <cell r="K7">
            <v>32.112950746165673</v>
          </cell>
          <cell r="N7">
            <v>0.29212239699142872</v>
          </cell>
        </row>
        <row r="8">
          <cell r="J8">
            <v>449.13093283360729</v>
          </cell>
          <cell r="K8">
            <v>34.168209673514582</v>
          </cell>
          <cell r="N8">
            <v>0.31072854455321491</v>
          </cell>
        </row>
        <row r="9">
          <cell r="J9">
            <v>372.90517238163818</v>
          </cell>
          <cell r="K9">
            <v>32.509503541037532</v>
          </cell>
          <cell r="N9">
            <v>0.2110494352398164</v>
          </cell>
        </row>
        <row r="10">
          <cell r="J10">
            <v>545.77266574920179</v>
          </cell>
          <cell r="K10">
            <v>28.966599379394442</v>
          </cell>
          <cell r="N10">
            <v>0.27918051659162052</v>
          </cell>
        </row>
        <row r="11">
          <cell r="J11">
            <v>413.90524534251369</v>
          </cell>
          <cell r="K11">
            <v>22.800456610910508</v>
          </cell>
          <cell r="N11">
            <v>0.22284298272060979</v>
          </cell>
        </row>
        <row r="12">
          <cell r="J12">
            <v>600.05114910613997</v>
          </cell>
          <cell r="K12">
            <v>37.920198615682011</v>
          </cell>
          <cell r="N12">
            <v>0.29895452589316301</v>
          </cell>
        </row>
        <row r="13">
          <cell r="J13">
            <v>726.81693567394757</v>
          </cell>
          <cell r="K13">
            <v>34.168209673514582</v>
          </cell>
          <cell r="N13">
            <v>0.35155019849350672</v>
          </cell>
        </row>
        <row r="14">
          <cell r="J14">
            <v>491.90097738880718</v>
          </cell>
          <cell r="K14">
            <v>34.509555299643331</v>
          </cell>
          <cell r="N14">
            <v>0.25465478640020989</v>
          </cell>
        </row>
        <row r="15">
          <cell r="J15">
            <v>497.81317760107709</v>
          </cell>
          <cell r="K15">
            <v>34.233542912614041</v>
          </cell>
          <cell r="N15">
            <v>0.2680229457328035</v>
          </cell>
        </row>
        <row r="16">
          <cell r="J16">
            <v>734.54360210915809</v>
          </cell>
          <cell r="K16">
            <v>38.91018632957595</v>
          </cell>
          <cell r="N16">
            <v>0.35719492828615568</v>
          </cell>
        </row>
        <row r="17">
          <cell r="J17">
            <v>610.02358125508351</v>
          </cell>
          <cell r="K17">
            <v>42.863547025446572</v>
          </cell>
          <cell r="N17">
            <v>0.40987566214717058</v>
          </cell>
        </row>
        <row r="18">
          <cell r="J18">
            <v>614.24978057956264</v>
          </cell>
          <cell r="K18">
            <v>34.481965046749572</v>
          </cell>
          <cell r="N18">
            <v>0.31830109051492927</v>
          </cell>
        </row>
        <row r="19">
          <cell r="J19">
            <v>291.05760965024848</v>
          </cell>
          <cell r="K19">
            <v>19.701526021482589</v>
          </cell>
          <cell r="N19">
            <v>0.17712869665622341</v>
          </cell>
        </row>
        <row r="20">
          <cell r="J20">
            <v>696.81069761586082</v>
          </cell>
          <cell r="K20">
            <v>30.21220372182901</v>
          </cell>
          <cell r="N20">
            <v>0.28515499329898969</v>
          </cell>
        </row>
        <row r="21">
          <cell r="J21">
            <v>551.57500310812304</v>
          </cell>
          <cell r="K21">
            <v>42.328424856528947</v>
          </cell>
          <cell r="N21">
            <v>0.34135721988956752</v>
          </cell>
        </row>
        <row r="22">
          <cell r="J22">
            <v>495.58882510192927</v>
          </cell>
          <cell r="K22">
            <v>25.761026144140789</v>
          </cell>
          <cell r="N22">
            <v>0.25651376000433213</v>
          </cell>
        </row>
        <row r="23">
          <cell r="J23">
            <v>252.880529766411</v>
          </cell>
          <cell r="K23">
            <v>32.124851019620138</v>
          </cell>
          <cell r="N23">
            <v>0.14962905137318741</v>
          </cell>
        </row>
        <row r="24">
          <cell r="J24">
            <v>294.05947140624812</v>
          </cell>
          <cell r="K24">
            <v>42.450393069510469</v>
          </cell>
          <cell r="N24">
            <v>0.18294062777081871</v>
          </cell>
        </row>
        <row r="25">
          <cell r="J25">
            <v>521.92242249612491</v>
          </cell>
          <cell r="K25">
            <v>27.640040591643441</v>
          </cell>
          <cell r="N25">
            <v>0.27367669906443659</v>
          </cell>
        </row>
        <row r="26">
          <cell r="J26">
            <v>415.68001582094871</v>
          </cell>
          <cell r="K26">
            <v>23.1050477214369</v>
          </cell>
          <cell r="N26">
            <v>0.22479924456866621</v>
          </cell>
        </row>
        <row r="27">
          <cell r="J27">
            <v>463.17255028533771</v>
          </cell>
          <cell r="K27">
            <v>25.06958002405791</v>
          </cell>
          <cell r="N27">
            <v>0.25128814980901171</v>
          </cell>
        </row>
        <row r="28">
          <cell r="J28">
            <v>720.91010268149512</v>
          </cell>
          <cell r="K28">
            <v>37.446775253972348</v>
          </cell>
          <cell r="N28">
            <v>0.34981255561364211</v>
          </cell>
        </row>
        <row r="29">
          <cell r="J29">
            <v>830.13369852249514</v>
          </cell>
          <cell r="K29">
            <v>34.093862468973867</v>
          </cell>
          <cell r="N29">
            <v>0.27568709704055427</v>
          </cell>
        </row>
        <row r="30">
          <cell r="J30">
            <v>573.45234536559701</v>
          </cell>
          <cell r="K30">
            <v>31.988254494707039</v>
          </cell>
          <cell r="N30">
            <v>0.2910865626887707</v>
          </cell>
        </row>
        <row r="31">
          <cell r="J31">
            <v>473.55217273725202</v>
          </cell>
          <cell r="K31">
            <v>25.403001481665331</v>
          </cell>
          <cell r="N31">
            <v>0.25301998160958439</v>
          </cell>
        </row>
        <row r="32">
          <cell r="J32">
            <v>545.77266574920179</v>
          </cell>
          <cell r="K32">
            <v>42.957474570995288</v>
          </cell>
          <cell r="N32">
            <v>0.28087418717400608</v>
          </cell>
        </row>
        <row r="33">
          <cell r="J33">
            <v>375.22752388249648</v>
          </cell>
          <cell r="K33">
            <v>32.509503541037532</v>
          </cell>
          <cell r="N33">
            <v>0.29589157319362352</v>
          </cell>
        </row>
        <row r="34">
          <cell r="J34">
            <v>610.02358125508351</v>
          </cell>
          <cell r="K34">
            <v>37.920198615682011</v>
          </cell>
          <cell r="N34">
            <v>0.3561087509382424</v>
          </cell>
        </row>
        <row r="35">
          <cell r="J35">
            <v>830.13369852249514</v>
          </cell>
          <cell r="K35">
            <v>23.33189768406957</v>
          </cell>
          <cell r="N35">
            <v>0.37607345777717149</v>
          </cell>
        </row>
        <row r="36">
          <cell r="J36">
            <v>307.91532286630729</v>
          </cell>
          <cell r="K36">
            <v>28.213310860324128</v>
          </cell>
          <cell r="N36">
            <v>0.18955232651186979</v>
          </cell>
        </row>
        <row r="37">
          <cell r="J37">
            <v>557.79180936942089</v>
          </cell>
          <cell r="K37">
            <v>29.54505596450246</v>
          </cell>
          <cell r="N37">
            <v>0.28130963365436612</v>
          </cell>
        </row>
        <row r="38">
          <cell r="J38">
            <v>449.13093283360729</v>
          </cell>
          <cell r="K38">
            <v>42.450393069510469</v>
          </cell>
          <cell r="N38">
            <v>0.24905707173957051</v>
          </cell>
        </row>
        <row r="39">
          <cell r="J39">
            <v>734.54360210915809</v>
          </cell>
          <cell r="K39">
            <v>36.148044477110183</v>
          </cell>
          <cell r="N39">
            <v>0.35867859413871878</v>
          </cell>
        </row>
        <row r="40">
          <cell r="J40">
            <v>252.880529766411</v>
          </cell>
          <cell r="K40">
            <v>35.14527034142445</v>
          </cell>
          <cell r="N40">
            <v>0.32331029713287818</v>
          </cell>
        </row>
        <row r="41">
          <cell r="J41">
            <v>708.1677590396705</v>
          </cell>
          <cell r="K41">
            <v>36.462644721053408</v>
          </cell>
          <cell r="N41">
            <v>0.34656380994048908</v>
          </cell>
        </row>
        <row r="42">
          <cell r="J42">
            <v>447.27848635895299</v>
          </cell>
          <cell r="K42">
            <v>42.957474570995288</v>
          </cell>
          <cell r="N42">
            <v>0.41054204530787919</v>
          </cell>
        </row>
        <row r="43">
          <cell r="J43">
            <v>890.46319359814106</v>
          </cell>
          <cell r="K43">
            <v>28.856357791851678</v>
          </cell>
          <cell r="N43">
            <v>0.45044823315321392</v>
          </cell>
        </row>
        <row r="44">
          <cell r="J44">
            <v>503.2671201808941</v>
          </cell>
          <cell r="K44">
            <v>26.96311664321771</v>
          </cell>
          <cell r="N44">
            <v>0.26813506639730089</v>
          </cell>
        </row>
        <row r="45">
          <cell r="J45">
            <v>421.88563910474119</v>
          </cell>
          <cell r="K45">
            <v>24.258495432968651</v>
          </cell>
          <cell r="N45">
            <v>0.23379175927136131</v>
          </cell>
        </row>
        <row r="46">
          <cell r="J46">
            <v>291.05760965024848</v>
          </cell>
          <cell r="K46">
            <v>30.21220372182901</v>
          </cell>
          <cell r="N46">
            <v>0.36212322494095361</v>
          </cell>
        </row>
        <row r="47">
          <cell r="J47">
            <v>596.96015524763516</v>
          </cell>
          <cell r="K47">
            <v>32.640044751077639</v>
          </cell>
          <cell r="N47">
            <v>0.29718856991396142</v>
          </cell>
        </row>
        <row r="48">
          <cell r="J48">
            <v>559.97758335747517</v>
          </cell>
          <cell r="K48">
            <v>30.116527726833709</v>
          </cell>
          <cell r="N48">
            <v>0.28336942798927012</v>
          </cell>
        </row>
        <row r="49">
          <cell r="J49">
            <v>696.81069761586082</v>
          </cell>
          <cell r="K49">
            <v>36.329472046171738</v>
          </cell>
          <cell r="N49">
            <v>0.34625154351267551</v>
          </cell>
        </row>
        <row r="50">
          <cell r="J50">
            <v>606.72437794032601</v>
          </cell>
          <cell r="K50">
            <v>33.488511070211693</v>
          </cell>
          <cell r="N50">
            <v>0.30257537012267921</v>
          </cell>
        </row>
        <row r="51">
          <cell r="J51">
            <v>484.28885475832197</v>
          </cell>
          <cell r="K51">
            <v>22.67066139610537</v>
          </cell>
          <cell r="N51">
            <v>0.25403672103000408</v>
          </cell>
        </row>
        <row r="52">
          <cell r="J52">
            <v>504.65458741369969</v>
          </cell>
          <cell r="K52">
            <v>42.450393069510469</v>
          </cell>
          <cell r="N52">
            <v>0.3718495870650842</v>
          </cell>
        </row>
        <row r="53">
          <cell r="J53">
            <v>496.06702576891882</v>
          </cell>
          <cell r="K53">
            <v>26.6797836620513</v>
          </cell>
          <cell r="N53">
            <v>0.26525404584659262</v>
          </cell>
        </row>
        <row r="54">
          <cell r="J54">
            <v>569.036813905543</v>
          </cell>
          <cell r="K54">
            <v>37.510906147376723</v>
          </cell>
          <cell r="N54">
            <v>0.28728976709457338</v>
          </cell>
        </row>
        <row r="55">
          <cell r="J55">
            <v>523.01127462814736</v>
          </cell>
          <cell r="K55">
            <v>21.014939592383691</v>
          </cell>
          <cell r="N55">
            <v>0.35683679596408208</v>
          </cell>
        </row>
        <row r="56">
          <cell r="J56">
            <v>438.67524693903368</v>
          </cell>
          <cell r="K56">
            <v>25.659829377999021</v>
          </cell>
          <cell r="N56">
            <v>0.24060566113363149</v>
          </cell>
        </row>
        <row r="57">
          <cell r="J57">
            <v>830.13369852249514</v>
          </cell>
          <cell r="K57">
            <v>42.819613509869228</v>
          </cell>
          <cell r="N57">
            <v>0.39777191437161191</v>
          </cell>
        </row>
        <row r="58">
          <cell r="J58">
            <v>497.81317760107709</v>
          </cell>
          <cell r="K58">
            <v>28.213310860324128</v>
          </cell>
          <cell r="N58">
            <v>0.33006229745372762</v>
          </cell>
        </row>
        <row r="59">
          <cell r="J59">
            <v>375.22752388249648</v>
          </cell>
          <cell r="K59">
            <v>28.856357791851678</v>
          </cell>
          <cell r="N59">
            <v>0.27643788341618669</v>
          </cell>
        </row>
        <row r="60">
          <cell r="J60">
            <v>523.01127462814736</v>
          </cell>
          <cell r="K60">
            <v>32.509503541037532</v>
          </cell>
          <cell r="N60">
            <v>0.2743413460545816</v>
          </cell>
        </row>
        <row r="61">
          <cell r="J61">
            <v>504.65458741369969</v>
          </cell>
          <cell r="K61">
            <v>36.13905882520546</v>
          </cell>
          <cell r="N61">
            <v>0.34042130162395873</v>
          </cell>
        </row>
        <row r="62">
          <cell r="J62">
            <v>319.56344705841639</v>
          </cell>
          <cell r="K62">
            <v>42.863547025446572</v>
          </cell>
          <cell r="N62">
            <v>0.19223505408993111</v>
          </cell>
        </row>
        <row r="63">
          <cell r="J63">
            <v>619.41733832886609</v>
          </cell>
          <cell r="K63">
            <v>34.543963455210843</v>
          </cell>
          <cell r="N63">
            <v>0.32266433225341751</v>
          </cell>
        </row>
        <row r="64">
          <cell r="J64">
            <v>305.47024795509333</v>
          </cell>
          <cell r="K64">
            <v>20.833658043879868</v>
          </cell>
          <cell r="N64">
            <v>0.18679294537118299</v>
          </cell>
        </row>
        <row r="65">
          <cell r="J65">
            <v>521.92242249612491</v>
          </cell>
          <cell r="K65">
            <v>21.014939592383691</v>
          </cell>
          <cell r="N65">
            <v>0.31044692368482418</v>
          </cell>
        </row>
        <row r="66">
          <cell r="J66">
            <v>473.37922936466907</v>
          </cell>
          <cell r="K66">
            <v>25.369547601790899</v>
          </cell>
          <cell r="N66">
            <v>0.25202637409654721</v>
          </cell>
        </row>
        <row r="67">
          <cell r="J67">
            <v>619.41733832886609</v>
          </cell>
          <cell r="K67">
            <v>37.510906147376723</v>
          </cell>
          <cell r="N67">
            <v>0.37123395995440062</v>
          </cell>
        </row>
        <row r="68">
          <cell r="J68">
            <v>659.36358432663053</v>
          </cell>
          <cell r="K68">
            <v>35.629086509343651</v>
          </cell>
          <cell r="N68">
            <v>0.33292245175206381</v>
          </cell>
        </row>
        <row r="69">
          <cell r="J69">
            <v>648.04278931605404</v>
          </cell>
          <cell r="K69">
            <v>35.349709305309297</v>
          </cell>
          <cell r="N69">
            <v>0.32581869835967092</v>
          </cell>
        </row>
        <row r="70">
          <cell r="J70">
            <v>608.0353746788893</v>
          </cell>
          <cell r="K70">
            <v>33.594994608612112</v>
          </cell>
          <cell r="N70">
            <v>0.30329966544333942</v>
          </cell>
        </row>
        <row r="71">
          <cell r="J71">
            <v>362.0806959925111</v>
          </cell>
          <cell r="K71">
            <v>21.830429874465541</v>
          </cell>
          <cell r="N71">
            <v>0.20414723507989471</v>
          </cell>
        </row>
        <row r="72">
          <cell r="J72">
            <v>573.24211385453748</v>
          </cell>
          <cell r="K72">
            <v>31.780339128994552</v>
          </cell>
          <cell r="N72">
            <v>0.28948886558907888</v>
          </cell>
        </row>
        <row r="73">
          <cell r="J73">
            <v>551.57500310812304</v>
          </cell>
          <cell r="K73">
            <v>29.002436397815529</v>
          </cell>
          <cell r="N73">
            <v>0.28054417581680913</v>
          </cell>
        </row>
        <row r="74">
          <cell r="J74">
            <v>581.24124671152902</v>
          </cell>
          <cell r="K74">
            <v>32.124851019620138</v>
          </cell>
          <cell r="N74">
            <v>0.29284631491392171</v>
          </cell>
        </row>
        <row r="75">
          <cell r="J75">
            <v>551.57500310812304</v>
          </cell>
          <cell r="K75">
            <v>39.870098609562831</v>
          </cell>
          <cell r="N75">
            <v>0.20187766616909419</v>
          </cell>
        </row>
        <row r="76">
          <cell r="J76">
            <v>545.77266574920179</v>
          </cell>
          <cell r="K76">
            <v>28.61134162948003</v>
          </cell>
          <cell r="N76">
            <v>0.2248782794162171</v>
          </cell>
        </row>
        <row r="77">
          <cell r="J77">
            <v>403.40831801853841</v>
          </cell>
          <cell r="K77">
            <v>22.71292327512996</v>
          </cell>
          <cell r="N77">
            <v>0.22107462398711211</v>
          </cell>
        </row>
        <row r="78">
          <cell r="J78">
            <v>886.1339798802187</v>
          </cell>
          <cell r="K78">
            <v>21.380953935177011</v>
          </cell>
          <cell r="N78">
            <v>0.19529177275776979</v>
          </cell>
        </row>
        <row r="79">
          <cell r="J79">
            <v>726.81693567394757</v>
          </cell>
          <cell r="K79">
            <v>42.328424856528947</v>
          </cell>
          <cell r="N79">
            <v>0.25414415926475448</v>
          </cell>
        </row>
        <row r="80">
          <cell r="J80">
            <v>886.1339798802187</v>
          </cell>
          <cell r="K80">
            <v>28.856357791851678</v>
          </cell>
          <cell r="N80">
            <v>0.41063671974599147</v>
          </cell>
        </row>
        <row r="81">
          <cell r="J81">
            <v>664.15565877204904</v>
          </cell>
          <cell r="K81">
            <v>35.712204079351267</v>
          </cell>
          <cell r="N81">
            <v>0.33781935185684459</v>
          </cell>
        </row>
        <row r="82">
          <cell r="J82">
            <v>558.42480133446179</v>
          </cell>
          <cell r="K82">
            <v>22.71292327512996</v>
          </cell>
          <cell r="N82">
            <v>0.28215109754040218</v>
          </cell>
        </row>
        <row r="83">
          <cell r="J83">
            <v>569.036813905543</v>
          </cell>
          <cell r="K83">
            <v>42.863547025446572</v>
          </cell>
          <cell r="N83">
            <v>0.28620642158906862</v>
          </cell>
        </row>
        <row r="84">
          <cell r="J84">
            <v>252.880529766411</v>
          </cell>
          <cell r="K84">
            <v>34.233542912614041</v>
          </cell>
          <cell r="N84">
            <v>0.31094851703248888</v>
          </cell>
        </row>
        <row r="85">
          <cell r="J85">
            <v>773.23782906934002</v>
          </cell>
          <cell r="K85">
            <v>41.422284810995777</v>
          </cell>
          <cell r="N85">
            <v>0.36288404833129961</v>
          </cell>
        </row>
        <row r="86">
          <cell r="J86">
            <v>817.8805740858752</v>
          </cell>
          <cell r="K86">
            <v>35.14527034142445</v>
          </cell>
          <cell r="N86">
            <v>0.39096878987349809</v>
          </cell>
        </row>
        <row r="87">
          <cell r="J87">
            <v>603.45495957616026</v>
          </cell>
          <cell r="K87">
            <v>34.233542912614041</v>
          </cell>
          <cell r="N87">
            <v>0.30025139260575129</v>
          </cell>
        </row>
        <row r="88">
          <cell r="J88">
            <v>518.08895796790466</v>
          </cell>
          <cell r="K88">
            <v>34.509555299643331</v>
          </cell>
          <cell r="N88">
            <v>0.31869611368775308</v>
          </cell>
        </row>
        <row r="89">
          <cell r="J89">
            <v>307.91532286630729</v>
          </cell>
          <cell r="K89">
            <v>34.093862468973867</v>
          </cell>
          <cell r="N89">
            <v>0.34442553880212762</v>
          </cell>
        </row>
        <row r="90">
          <cell r="J90">
            <v>375.22752388249648</v>
          </cell>
          <cell r="K90">
            <v>21.380953935177011</v>
          </cell>
          <cell r="N90">
            <v>0.21289820988431221</v>
          </cell>
        </row>
        <row r="91">
          <cell r="J91">
            <v>519.22626043512992</v>
          </cell>
          <cell r="K91">
            <v>27.242540128268349</v>
          </cell>
          <cell r="N91">
            <v>0.27060515784716049</v>
          </cell>
        </row>
        <row r="92">
          <cell r="J92">
            <v>291.05760965024848</v>
          </cell>
          <cell r="K92">
            <v>39.870098609562831</v>
          </cell>
          <cell r="N92">
            <v>0.33856809984859187</v>
          </cell>
        </row>
        <row r="93">
          <cell r="J93">
            <v>389.38710677341862</v>
          </cell>
          <cell r="K93">
            <v>32.124851019620138</v>
          </cell>
          <cell r="N93">
            <v>0.21906150646039199</v>
          </cell>
        </row>
        <row r="94">
          <cell r="J94">
            <v>454.85168594785551</v>
          </cell>
          <cell r="K94">
            <v>21.380953935177011</v>
          </cell>
          <cell r="N94">
            <v>0.24923385254589181</v>
          </cell>
        </row>
        <row r="95">
          <cell r="J95">
            <v>521.92242249612491</v>
          </cell>
          <cell r="K95">
            <v>28.61134162948003</v>
          </cell>
          <cell r="N95">
            <v>0.23429928415438989</v>
          </cell>
        </row>
        <row r="96">
          <cell r="J96">
            <v>518.08895796790466</v>
          </cell>
          <cell r="K96">
            <v>37.920198615682011</v>
          </cell>
          <cell r="N96">
            <v>0.26977427974324081</v>
          </cell>
        </row>
        <row r="97">
          <cell r="J97">
            <v>167.05152762488819</v>
          </cell>
          <cell r="K97">
            <v>15.177312318503819</v>
          </cell>
          <cell r="N97">
            <v>0.1227218508002173</v>
          </cell>
        </row>
        <row r="98">
          <cell r="J98">
            <v>734.54360210915809</v>
          </cell>
          <cell r="K98">
            <v>36.040297721835898</v>
          </cell>
          <cell r="N98">
            <v>0.34288763100419523</v>
          </cell>
        </row>
        <row r="99">
          <cell r="J99">
            <v>447.27848635895299</v>
          </cell>
          <cell r="K99">
            <v>24.86722617036456</v>
          </cell>
          <cell r="N99">
            <v>0.24580046742972819</v>
          </cell>
        </row>
        <row r="100">
          <cell r="J100">
            <v>504.65458741369969</v>
          </cell>
          <cell r="K100">
            <v>25.659829377999021</v>
          </cell>
          <cell r="N100">
            <v>0.26928534750742977</v>
          </cell>
        </row>
        <row r="101">
          <cell r="J101">
            <v>419.38042762271778</v>
          </cell>
          <cell r="K101">
            <v>36.13905882520546</v>
          </cell>
          <cell r="N101">
            <v>0.23183287709095979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HAR" refreshedDate="46226.498641666665" createdVersion="7" refreshedVersion="7" minRefreshableVersion="3" recordCount="100" xr:uid="{62927984-62CA-4B68-8663-0B2216722107}">
  <cacheSource type="worksheet">
    <worksheetSource ref="A1:A101" sheet="ANOVA"/>
  </cacheSource>
  <cacheFields count="1">
    <cacheField name="Region" numFmtId="2">
      <sharedItems count="4">
        <s v="East"/>
        <s v="North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HAR" refreshedDate="46253.406373379628" createdVersion="7" refreshedVersion="7" minRefreshableVersion="3" recordCount="100" xr:uid="{CF6C3FE4-91F9-4142-9728-751841EC4997}">
  <cacheSource type="worksheet">
    <worksheetSource ref="A1:N101" sheet="Data"/>
  </cacheSource>
  <cacheFields count="14">
    <cacheField name="Customer ID" numFmtId="0">
      <sharedItems containsSemiMixedTypes="0" containsString="0" containsNumber="1" containsInteger="1" minValue="1" maxValue="100"/>
    </cacheField>
    <cacheField name="Gender" numFmtId="1">
      <sharedItems/>
    </cacheField>
    <cacheField name="Product_Category" numFmtId="2">
      <sharedItems count="5">
        <s v="Clothing"/>
        <s v="Beauty &amp; Health"/>
        <s v="Home &amp; Kitchen"/>
        <s v="Electronics"/>
        <s v="Sports &amp; Outdoors"/>
      </sharedItems>
    </cacheField>
    <cacheField name="Customer_Segment" numFmtId="2">
      <sharedItems count="3">
        <s v="Wholesale"/>
        <s v="Business"/>
        <s v="Individual"/>
      </sharedItems>
    </cacheField>
    <cacheField name="Payment_Method" numFmtId="2">
      <sharedItems/>
    </cacheField>
    <cacheField name="Region" numFmtId="2">
      <sharedItems count="4">
        <s v="West"/>
        <s v="East"/>
        <s v="North"/>
        <s v="South"/>
      </sharedItems>
    </cacheField>
    <cacheField name="City" numFmtId="2">
      <sharedItems/>
    </cacheField>
    <cacheField name="Sales_Channel" numFmtId="2">
      <sharedItems/>
    </cacheField>
    <cacheField name="Order_Status" numFmtId="2">
      <sharedItems/>
    </cacheField>
    <cacheField name="Sales" numFmtId="2">
      <sharedItems containsSemiMixedTypes="0" containsString="0" containsNumber="1" minValue="167.05152762488819" maxValue="890.46319359814106"/>
    </cacheField>
    <cacheField name="Quantity Sold" numFmtId="1">
      <sharedItems containsSemiMixedTypes="0" containsString="0" containsNumber="1" minValue="15.177312318503819" maxValue="42.957474570995288"/>
    </cacheField>
    <cacheField name="Discount Rate" numFmtId="9">
      <sharedItems containsSemiMixedTypes="0" containsString="0" containsNumber="1" minValue="7.0450973374120401E-2" maxValue="0.35185508179490538" count="22">
        <n v="9.9897857119795777E-2"/>
        <n v="0.18491415701193711"/>
        <n v="0.17917733206862821"/>
        <n v="0.25577787661114959"/>
        <n v="0.1810031805337412"/>
        <n v="0.30486450852597691"/>
        <n v="7.3005509594202878E-2"/>
        <n v="0.2498381806947613"/>
        <n v="7.0450973374120401E-2"/>
        <n v="0.18479239883959939"/>
        <n v="0.16617445551725141"/>
        <n v="0.28372444382937562"/>
        <n v="0.27990155171090281"/>
        <n v="0.35185508179490538"/>
        <n v="0.18251118457953991"/>
        <n v="0.27131122626152698"/>
        <n v="0.22905363271008869"/>
        <n v="0.22561918398743461"/>
        <n v="0.23270681750057659"/>
        <n v="0.24660854919634351"/>
        <n v="0.18424365288556879"/>
        <n v="0.23905291654922339"/>
      </sharedItems>
    </cacheField>
    <cacheField name="Delivery_Days" numFmtId="1">
      <sharedItems containsSemiMixedTypes="0" containsString="0" containsNumber="1" minValue="1" maxValue="11.157761616910481"/>
    </cacheField>
    <cacheField name="Profit Margin" numFmtId="9">
      <sharedItems containsSemiMixedTypes="0" containsString="0" containsNumber="1" minValue="0.1227218508002173" maxValue="0.45044823315321392" count="100">
        <n v="0.2207370029864176"/>
        <n v="0.30629010595447159"/>
        <n v="0.29212239699142872"/>
        <n v="0.2110494352398164"/>
        <n v="0.22284298272060979"/>
        <n v="0.35155019849350672"/>
        <n v="0.2680229457328035"/>
        <n v="0.40987566214717058"/>
        <n v="0.17712869665622341"/>
        <n v="0.34135721988956752"/>
        <n v="0.14962905137318741"/>
        <n v="0.27367669906443659"/>
        <n v="0.25128814980901171"/>
        <n v="0.27568709704055427"/>
        <n v="0.25301998160958439"/>
        <n v="0.29589157319362352"/>
        <n v="0.37607345777717149"/>
        <n v="0.28130963365436612"/>
        <n v="0.35867859413871878"/>
        <n v="0.34656380994048908"/>
        <n v="0.45044823315321392"/>
        <n v="0.23379175927136131"/>
        <n v="0.29718856991396142"/>
        <n v="0.34625154351267551"/>
        <n v="0.25403672103000408"/>
        <n v="0.26525404584659262"/>
        <n v="0.35683679596408208"/>
        <n v="0.39777191437161191"/>
        <n v="0.27643788341618669"/>
        <n v="0.34042130162395873"/>
        <n v="0.32266433225341751"/>
        <n v="0.31044692368482418"/>
        <n v="0.37123395995440062"/>
        <n v="0.32581869835967092"/>
        <n v="0.20414723507989471"/>
        <n v="0.28054417581680913"/>
        <n v="0.20187766616909419"/>
        <n v="0.22107462398711211"/>
        <n v="0.25414415926475448"/>
        <n v="0.33781935185684459"/>
        <n v="0.28620642158906862"/>
        <n v="0.36288404833129961"/>
        <n v="0.30025139260575129"/>
        <n v="0.34442553880212762"/>
        <n v="0.27060515784716049"/>
        <n v="0.21906150646039199"/>
        <n v="0.23429928415438989"/>
        <n v="0.1227218508002173"/>
        <n v="0.24580046742972819"/>
        <n v="0.23183287709095979"/>
        <n v="0.28936177079024888"/>
        <n v="0.25439927348418562"/>
        <n v="0.21021883294682961"/>
        <n v="0.31072854455321491"/>
        <n v="0.27918051659162052"/>
        <n v="0.29895452589316301"/>
        <n v="0.25465478640020989"/>
        <n v="0.35719492828615568"/>
        <n v="0.31830109051492927"/>
        <n v="0.28515499329898969"/>
        <n v="0.25651376000433213"/>
        <n v="0.18294062777081871"/>
        <n v="0.22479924456866621"/>
        <n v="0.34981255561364211"/>
        <n v="0.2910865626887707"/>
        <n v="0.28087418717400608"/>
        <n v="0.3561087509382424"/>
        <n v="0.18955232651186979"/>
        <n v="0.24905707173957051"/>
        <n v="0.32331029713287818"/>
        <n v="0.41054204530787919"/>
        <n v="0.26813506639730089"/>
        <n v="0.36212322494095361"/>
        <n v="0.28336942798927012"/>
        <n v="0.30257537012267921"/>
        <n v="0.3718495870650842"/>
        <n v="0.28728976709457338"/>
        <n v="0.24060566113363149"/>
        <n v="0.33006229745372762"/>
        <n v="0.2743413460545816"/>
        <n v="0.19223505408993111"/>
        <n v="0.18679294537118299"/>
        <n v="0.25202637409654721"/>
        <n v="0.33292245175206381"/>
        <n v="0.30329966544333942"/>
        <n v="0.28948886558907888"/>
        <n v="0.29284631491392171"/>
        <n v="0.2248782794162171"/>
        <n v="0.19529177275776979"/>
        <n v="0.41063671974599147"/>
        <n v="0.28215109754040218"/>
        <n v="0.31094851703248888"/>
        <n v="0.39096878987349809"/>
        <n v="0.31869611368775308"/>
        <n v="0.21289820988431221"/>
        <n v="0.33856809984859187"/>
        <n v="0.24923385254589181"/>
        <n v="0.26977427974324081"/>
        <n v="0.34288763100419523"/>
        <n v="0.2692853475074297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"/>
    <s v="Female"/>
    <x v="0"/>
    <x v="0"/>
    <s v="Cash"/>
    <x v="0"/>
    <s v="Phoenix"/>
    <s v="Catalog"/>
    <s v="Cancelled"/>
    <n v="886.1339798802187"/>
    <n v="22.67066139610537"/>
    <x v="0"/>
    <n v="2.2397970835702168"/>
    <x v="0"/>
  </r>
  <r>
    <n v="4"/>
    <s v="Female"/>
    <x v="1"/>
    <x v="1"/>
    <s v="Credit Card"/>
    <x v="1"/>
    <s v="San Diego"/>
    <s v="Catalog"/>
    <s v="Cancelled"/>
    <n v="610.02358125508351"/>
    <n v="22.71292327512996"/>
    <x v="1"/>
    <n v="4.7441648170384667"/>
    <x v="1"/>
  </r>
  <r>
    <n v="6"/>
    <s v="Female"/>
    <x v="2"/>
    <x v="1"/>
    <s v="Cash"/>
    <x v="1"/>
    <s v="Chicago"/>
    <s v="Online"/>
    <s v="Completed"/>
    <n v="576.61392133806294"/>
    <n v="32.112950746165673"/>
    <x v="2"/>
    <n v="4.5020717030418531"/>
    <x v="2"/>
  </r>
  <r>
    <n v="8"/>
    <s v="Female"/>
    <x v="2"/>
    <x v="0"/>
    <s v="PayPal"/>
    <x v="1"/>
    <s v="San Diego"/>
    <s v="Online"/>
    <s v="Cancelled"/>
    <n v="372.90517238163818"/>
    <n v="32.509503541037532"/>
    <x v="0"/>
    <n v="2.1554925808046521"/>
    <x v="3"/>
  </r>
  <r>
    <n v="10"/>
    <s v="Female"/>
    <x v="0"/>
    <x v="2"/>
    <s v="Bank Transfer"/>
    <x v="2"/>
    <s v="Phoenix"/>
    <s v="Catalog"/>
    <s v="Returned"/>
    <n v="413.90524534251369"/>
    <n v="22.800456610910508"/>
    <x v="0"/>
    <n v="2.391060998990294"/>
    <x v="4"/>
  </r>
  <r>
    <n v="12"/>
    <s v="Female"/>
    <x v="3"/>
    <x v="0"/>
    <s v="Cash"/>
    <x v="0"/>
    <s v="Chicago"/>
    <s v="Phone"/>
    <s v="Completed"/>
    <n v="726.81693567394757"/>
    <n v="34.168209673514582"/>
    <x v="3"/>
    <n v="7.2391498228691544"/>
    <x v="5"/>
  </r>
  <r>
    <n v="14"/>
    <s v="Female"/>
    <x v="3"/>
    <x v="1"/>
    <s v="Credit Card"/>
    <x v="0"/>
    <s v="Dallas"/>
    <s v="Online"/>
    <s v="Cancelled"/>
    <n v="497.81317760107709"/>
    <n v="34.233542912614041"/>
    <x v="4"/>
    <n v="2.2397970835702168"/>
    <x v="6"/>
  </r>
  <r>
    <n v="16"/>
    <s v="Female"/>
    <x v="3"/>
    <x v="1"/>
    <s v="Credit Card"/>
    <x v="1"/>
    <s v="Los Angeles"/>
    <s v="Phone"/>
    <s v="Returned"/>
    <n v="610.02358125508351"/>
    <n v="42.863547025446572"/>
    <x v="5"/>
    <n v="8.5106816848864089"/>
    <x v="7"/>
  </r>
  <r>
    <n v="18"/>
    <s v="Female"/>
    <x v="2"/>
    <x v="1"/>
    <s v="PayPal"/>
    <x v="2"/>
    <s v="San Diego"/>
    <s v="Catalog"/>
    <s v="Pending"/>
    <n v="291.05760965024848"/>
    <n v="19.701526021482589"/>
    <x v="6"/>
    <n v="2.391060998990294"/>
    <x v="8"/>
  </r>
  <r>
    <n v="20"/>
    <s v="Female"/>
    <x v="4"/>
    <x v="0"/>
    <s v="PayPal"/>
    <x v="2"/>
    <s v="Philadelphia"/>
    <s v="Online"/>
    <s v="Pending"/>
    <n v="551.57500310812304"/>
    <n v="42.328424856528947"/>
    <x v="7"/>
    <n v="6.4350845115919242"/>
    <x v="9"/>
  </r>
  <r>
    <n v="22"/>
    <s v="Female"/>
    <x v="2"/>
    <x v="0"/>
    <s v="PayPal"/>
    <x v="3"/>
    <s v="Chicago"/>
    <s v="Online"/>
    <s v="Completed"/>
    <n v="252.880529766411"/>
    <n v="32.124851019620138"/>
    <x v="8"/>
    <n v="1"/>
    <x v="10"/>
  </r>
  <r>
    <n v="24"/>
    <s v="Female"/>
    <x v="4"/>
    <x v="1"/>
    <s v="Credit Card"/>
    <x v="3"/>
    <s v="New York"/>
    <s v="Online"/>
    <s v="Pending"/>
    <n v="521.92242249612491"/>
    <n v="27.640040591643441"/>
    <x v="9"/>
    <n v="3.9722661653266131"/>
    <x v="11"/>
  </r>
  <r>
    <n v="26"/>
    <s v="Female"/>
    <x v="4"/>
    <x v="1"/>
    <s v="Bank Transfer"/>
    <x v="3"/>
    <s v="San Antonio"/>
    <s v="Catalog"/>
    <s v="Completed"/>
    <n v="463.17255028533771"/>
    <n v="25.06958002405791"/>
    <x v="10"/>
    <n v="2.750715816324262"/>
    <x v="12"/>
  </r>
  <r>
    <n v="28"/>
    <s v="Female"/>
    <x v="1"/>
    <x v="1"/>
    <s v="Cash"/>
    <x v="2"/>
    <s v="San Jose"/>
    <s v="Phone"/>
    <s v="Cancelled"/>
    <n v="830.13369852249514"/>
    <n v="34.093862468973867"/>
    <x v="1"/>
    <n v="4.0998690570415128"/>
    <x v="13"/>
  </r>
  <r>
    <n v="30"/>
    <s v="Female"/>
    <x v="3"/>
    <x v="2"/>
    <s v="Cash"/>
    <x v="1"/>
    <s v="Los Angeles"/>
    <s v="Online"/>
    <s v="Cancelled"/>
    <n v="473.55217273725202"/>
    <n v="25.403001481665331"/>
    <x v="0"/>
    <n v="2.8369039927712101"/>
    <x v="14"/>
  </r>
  <r>
    <n v="32"/>
    <s v="Female"/>
    <x v="3"/>
    <x v="2"/>
    <s v="Credit Card"/>
    <x v="3"/>
    <s v="San Jose"/>
    <s v="Online"/>
    <s v="Cancelled"/>
    <n v="375.22752388249648"/>
    <n v="32.509503541037532"/>
    <x v="4"/>
    <n v="4.0998690570415128"/>
    <x v="15"/>
  </r>
  <r>
    <n v="34"/>
    <s v="Female"/>
    <x v="1"/>
    <x v="2"/>
    <s v="Bank Transfer"/>
    <x v="1"/>
    <s v="Philadelphia"/>
    <s v="Catalog"/>
    <s v="Returned"/>
    <n v="830.13369852249514"/>
    <n v="23.33189768406957"/>
    <x v="11"/>
    <n v="6.763279513898901"/>
    <x v="16"/>
  </r>
  <r>
    <n v="36"/>
    <s v="Female"/>
    <x v="2"/>
    <x v="1"/>
    <s v="PayPal"/>
    <x v="2"/>
    <s v="San Diego"/>
    <s v="Online"/>
    <s v="Completed"/>
    <n v="557.79180936942089"/>
    <n v="29.54505596450246"/>
    <x v="0"/>
    <n v="4.4498966056967122"/>
    <x v="17"/>
  </r>
  <r>
    <n v="38"/>
    <s v="Female"/>
    <x v="0"/>
    <x v="1"/>
    <s v="PayPal"/>
    <x v="2"/>
    <s v="San Jose"/>
    <s v="Phone"/>
    <s v="Cancelled"/>
    <n v="734.54360210915809"/>
    <n v="36.148044477110183"/>
    <x v="12"/>
    <n v="6.0080930310356884"/>
    <x v="18"/>
  </r>
  <r>
    <n v="40"/>
    <s v="Female"/>
    <x v="3"/>
    <x v="0"/>
    <s v="Bank Transfer"/>
    <x v="3"/>
    <s v="Phoenix"/>
    <s v="Catalog"/>
    <s v="Cancelled"/>
    <n v="708.1677590396705"/>
    <n v="36.462644721053408"/>
    <x v="3"/>
    <n v="6.9431419019087111"/>
    <x v="19"/>
  </r>
  <r>
    <n v="42"/>
    <s v="Female"/>
    <x v="4"/>
    <x v="1"/>
    <s v="PayPal"/>
    <x v="0"/>
    <s v="San Jose"/>
    <s v="Catalog"/>
    <s v="Returned"/>
    <n v="890.46319359814106"/>
    <n v="28.856357791851678"/>
    <x v="13"/>
    <n v="11.157761616910481"/>
    <x v="20"/>
  </r>
  <r>
    <n v="44"/>
    <s v="Female"/>
    <x v="3"/>
    <x v="2"/>
    <s v="Credit Card"/>
    <x v="0"/>
    <s v="Phoenix"/>
    <s v="Catalog"/>
    <s v="Pending"/>
    <n v="421.88563910474119"/>
    <n v="24.258495432968651"/>
    <x v="0"/>
    <n v="2.6042442148223031"/>
    <x v="21"/>
  </r>
  <r>
    <n v="46"/>
    <s v="Female"/>
    <x v="4"/>
    <x v="2"/>
    <s v="Credit Card"/>
    <x v="2"/>
    <s v="Chicago"/>
    <s v="Catalog"/>
    <s v="Cancelled"/>
    <n v="596.96015524763516"/>
    <n v="32.640044751077639"/>
    <x v="14"/>
    <n v="4.0998690570415128"/>
    <x v="22"/>
  </r>
  <r>
    <n v="48"/>
    <s v="Female"/>
    <x v="2"/>
    <x v="0"/>
    <s v="PayPal"/>
    <x v="3"/>
    <s v="Philadelphia"/>
    <s v="Online"/>
    <s v="Completed"/>
    <n v="696.81069761586082"/>
    <n v="36.329472046171738"/>
    <x v="3"/>
    <n v="6.9102846410024767"/>
    <x v="23"/>
  </r>
  <r>
    <n v="50"/>
    <s v="Female"/>
    <x v="0"/>
    <x v="0"/>
    <s v="Cash"/>
    <x v="1"/>
    <s v="San Diego"/>
    <s v="Phone"/>
    <s v="Cancelled"/>
    <n v="484.28885475832197"/>
    <n v="22.67066139610537"/>
    <x v="0"/>
    <n v="2.6334829746684498"/>
    <x v="24"/>
  </r>
  <r>
    <n v="52"/>
    <s v="Female"/>
    <x v="3"/>
    <x v="1"/>
    <s v="Bank Transfer"/>
    <x v="2"/>
    <s v="San Diego"/>
    <s v="Catalog"/>
    <s v="Pending"/>
    <n v="496.06702576891882"/>
    <n v="26.6797836620513"/>
    <x v="2"/>
    <n v="2.2397970835702168"/>
    <x v="25"/>
  </r>
  <r>
    <n v="54"/>
    <s v="Female"/>
    <x v="3"/>
    <x v="2"/>
    <s v="Bank Transfer"/>
    <x v="3"/>
    <s v="Dallas"/>
    <s v="In-store"/>
    <s v="Cancelled"/>
    <n v="523.01127462814736"/>
    <n v="21.014939592383691"/>
    <x v="15"/>
    <n v="7.5553536437970177"/>
    <x v="26"/>
  </r>
  <r>
    <n v="56"/>
    <s v="Female"/>
    <x v="2"/>
    <x v="0"/>
    <s v="Bank Transfer"/>
    <x v="3"/>
    <s v="New York"/>
    <s v="In-store"/>
    <s v="Returned"/>
    <n v="830.13369852249514"/>
    <n v="42.819613509869228"/>
    <x v="11"/>
    <n v="8.3742832701451295"/>
    <x v="27"/>
  </r>
  <r>
    <n v="58"/>
    <s v="Female"/>
    <x v="2"/>
    <x v="1"/>
    <s v="Bank Transfer"/>
    <x v="2"/>
    <s v="Chicago"/>
    <s v="In-store"/>
    <s v="Completed"/>
    <n v="375.22752388249648"/>
    <n v="28.856357791851678"/>
    <x v="1"/>
    <n v="4.0998690570415128"/>
    <x v="28"/>
  </r>
  <r>
    <n v="60"/>
    <s v="Female"/>
    <x v="1"/>
    <x v="2"/>
    <s v="Credit Card"/>
    <x v="1"/>
    <s v="New York"/>
    <s v="Catalog"/>
    <s v="Pending"/>
    <n v="504.65458741369969"/>
    <n v="36.13905882520546"/>
    <x v="7"/>
    <n v="6.4232297561777791"/>
    <x v="29"/>
  </r>
  <r>
    <n v="62"/>
    <s v="Female"/>
    <x v="1"/>
    <x v="1"/>
    <s v="PayPal"/>
    <x v="1"/>
    <s v="New York"/>
    <s v="In-store"/>
    <s v="Pending"/>
    <n v="619.41733832886609"/>
    <n v="34.543963455210843"/>
    <x v="16"/>
    <n v="5.622500309087072"/>
    <x v="30"/>
  </r>
  <r>
    <n v="64"/>
    <s v="Female"/>
    <x v="3"/>
    <x v="0"/>
    <s v="PayPal"/>
    <x v="1"/>
    <s v="Philadelphia"/>
    <s v="Online"/>
    <s v="Pending"/>
    <n v="521.92242249612491"/>
    <n v="21.014939592383691"/>
    <x v="17"/>
    <n v="4.7441648170384667"/>
    <x v="31"/>
  </r>
  <r>
    <n v="66"/>
    <s v="Female"/>
    <x v="3"/>
    <x v="2"/>
    <s v="Credit Card"/>
    <x v="1"/>
    <s v="Los Angeles"/>
    <s v="Catalog"/>
    <s v="Cancelled"/>
    <n v="619.41733832886609"/>
    <n v="37.510906147376723"/>
    <x v="12"/>
    <n v="6.4350845115919242"/>
    <x v="32"/>
  </r>
  <r>
    <n v="68"/>
    <s v="Female"/>
    <x v="1"/>
    <x v="0"/>
    <s v="Cash"/>
    <x v="2"/>
    <s v="Phoenix"/>
    <s v="In-store"/>
    <s v="Completed"/>
    <n v="648.04278931605404"/>
    <n v="35.349709305309297"/>
    <x v="18"/>
    <n v="5.6646280239591844"/>
    <x v="33"/>
  </r>
  <r>
    <n v="70"/>
    <s v="Female"/>
    <x v="3"/>
    <x v="1"/>
    <s v="Cash"/>
    <x v="3"/>
    <s v="Phoenix"/>
    <s v="Phone"/>
    <s v="Pending"/>
    <n v="362.0806959925111"/>
    <n v="21.830429874465541"/>
    <x v="0"/>
    <n v="2.6334829746684498"/>
    <x v="34"/>
  </r>
  <r>
    <n v="72"/>
    <s v="Female"/>
    <x v="1"/>
    <x v="1"/>
    <s v="Credit Card"/>
    <x v="2"/>
    <s v="Philadelphia"/>
    <s v="In-store"/>
    <s v="Pending"/>
    <n v="551.57500310812304"/>
    <n v="29.002436397815529"/>
    <x v="1"/>
    <n v="4.4498966056967122"/>
    <x v="35"/>
  </r>
  <r>
    <n v="74"/>
    <s v="Female"/>
    <x v="2"/>
    <x v="0"/>
    <s v="PayPal"/>
    <x v="1"/>
    <s v="New York"/>
    <s v="Online"/>
    <s v="Completed"/>
    <n v="551.57500310812304"/>
    <n v="39.870098609562831"/>
    <x v="0"/>
    <n v="2.6334829746684498"/>
    <x v="36"/>
  </r>
  <r>
    <n v="76"/>
    <s v="Female"/>
    <x v="4"/>
    <x v="1"/>
    <s v="Credit Card"/>
    <x v="2"/>
    <s v="Philadelphia"/>
    <s v="Phone"/>
    <s v="Completed"/>
    <n v="403.40831801853841"/>
    <n v="22.71292327512996"/>
    <x v="6"/>
    <n v="2.2397970835702168"/>
    <x v="37"/>
  </r>
  <r>
    <n v="78"/>
    <s v="Female"/>
    <x v="1"/>
    <x v="2"/>
    <s v="Cash"/>
    <x v="3"/>
    <s v="Phoenix"/>
    <s v="Online"/>
    <s v="Cancelled"/>
    <n v="726.81693567394757"/>
    <n v="42.328424856528947"/>
    <x v="0"/>
    <n v="2.750715816324262"/>
    <x v="38"/>
  </r>
  <r>
    <n v="80"/>
    <s v="Female"/>
    <x v="1"/>
    <x v="2"/>
    <s v="Cash"/>
    <x v="3"/>
    <s v="Dallas"/>
    <s v="In-store"/>
    <s v="Pending"/>
    <n v="664.15565877204904"/>
    <n v="35.712204079351267"/>
    <x v="19"/>
    <n v="6.0080930310356884"/>
    <x v="39"/>
  </r>
  <r>
    <n v="82"/>
    <s v="Female"/>
    <x v="2"/>
    <x v="0"/>
    <s v="Cash"/>
    <x v="2"/>
    <s v="Houston"/>
    <s v="Phone"/>
    <s v="Completed"/>
    <n v="569.036813905543"/>
    <n v="42.863547025446572"/>
    <x v="0"/>
    <n v="4.5019279208872431"/>
    <x v="40"/>
  </r>
  <r>
    <n v="84"/>
    <s v="Female"/>
    <x v="3"/>
    <x v="0"/>
    <s v="Bank Transfer"/>
    <x v="0"/>
    <s v="New York"/>
    <s v="Phone"/>
    <s v="Returned"/>
    <n v="773.23782906934002"/>
    <n v="41.422284810995777"/>
    <x v="12"/>
    <n v="6.4232297561777791"/>
    <x v="41"/>
  </r>
  <r>
    <n v="86"/>
    <s v="Female"/>
    <x v="4"/>
    <x v="2"/>
    <s v="Bank Transfer"/>
    <x v="0"/>
    <s v="Dallas"/>
    <s v="In-store"/>
    <s v="Completed"/>
    <n v="603.45495957616026"/>
    <n v="34.233542912614041"/>
    <x v="20"/>
    <n v="4.4498966056967122"/>
    <x v="42"/>
  </r>
  <r>
    <n v="88"/>
    <s v="Female"/>
    <x v="4"/>
    <x v="1"/>
    <s v="Cash"/>
    <x v="0"/>
    <s v="Houston"/>
    <s v="In-store"/>
    <s v="Completed"/>
    <n v="307.91532286630729"/>
    <n v="34.093862468973867"/>
    <x v="3"/>
    <n v="6.763279513898901"/>
    <x v="43"/>
  </r>
  <r>
    <n v="90"/>
    <s v="Female"/>
    <x v="0"/>
    <x v="0"/>
    <s v="Bank Transfer"/>
    <x v="2"/>
    <s v="San Antonio"/>
    <s v="In-store"/>
    <s v="Completed"/>
    <n v="519.22626043512992"/>
    <n v="27.242540128268349"/>
    <x v="20"/>
    <n v="3.028547907328913"/>
    <x v="44"/>
  </r>
  <r>
    <n v="92"/>
    <s v="Female"/>
    <x v="3"/>
    <x v="0"/>
    <s v="Credit Card"/>
    <x v="0"/>
    <s v="Chicago"/>
    <s v="Phone"/>
    <s v="Completed"/>
    <n v="389.38710677341862"/>
    <n v="32.124851019620138"/>
    <x v="0"/>
    <n v="2.2344005380713279"/>
    <x v="45"/>
  </r>
  <r>
    <n v="94"/>
    <s v="Female"/>
    <x v="4"/>
    <x v="0"/>
    <s v="Credit Card"/>
    <x v="2"/>
    <s v="San Jose"/>
    <s v="In-store"/>
    <s v="Pending"/>
    <n v="521.92242249612491"/>
    <n v="28.61134162948003"/>
    <x v="0"/>
    <n v="2.6042442148223031"/>
    <x v="46"/>
  </r>
  <r>
    <n v="96"/>
    <s v="Female"/>
    <x v="4"/>
    <x v="2"/>
    <s v="PayPal"/>
    <x v="3"/>
    <s v="Houston"/>
    <s v="Catalog"/>
    <s v="Returned"/>
    <n v="167.05152762488819"/>
    <n v="15.177312318503819"/>
    <x v="8"/>
    <n v="1"/>
    <x v="47"/>
  </r>
  <r>
    <n v="98"/>
    <s v="Female"/>
    <x v="4"/>
    <x v="2"/>
    <s v="Cash"/>
    <x v="2"/>
    <s v="Philadelphia"/>
    <s v="In-store"/>
    <s v="Returned"/>
    <n v="447.27848635895299"/>
    <n v="24.86722617036456"/>
    <x v="10"/>
    <n v="2.6334829746684498"/>
    <x v="48"/>
  </r>
  <r>
    <n v="100"/>
    <s v="Female"/>
    <x v="2"/>
    <x v="1"/>
    <s v="Cash"/>
    <x v="0"/>
    <s v="Houston"/>
    <s v="In-store"/>
    <s v="Cancelled"/>
    <n v="419.38042762271778"/>
    <n v="36.13905882520546"/>
    <x v="0"/>
    <n v="2.6042442148223031"/>
    <x v="49"/>
  </r>
  <r>
    <n v="1"/>
    <s v="Male"/>
    <x v="4"/>
    <x v="1"/>
    <s v="Cash"/>
    <x v="3"/>
    <s v="Philadelphia"/>
    <s v="Online"/>
    <s v="Pending"/>
    <n v="619.41733832886609"/>
    <n v="36.148044477110183"/>
    <x v="10"/>
    <n v="4.5019279208872431"/>
    <x v="50"/>
  </r>
  <r>
    <n v="3"/>
    <s v="Male"/>
    <x v="0"/>
    <x v="0"/>
    <s v="Credit Card"/>
    <x v="3"/>
    <s v="Philadelphia"/>
    <s v="In-store"/>
    <s v="Returned"/>
    <n v="449.13093283360729"/>
    <n v="25.659829377999021"/>
    <x v="0"/>
    <n v="2.1554925808046521"/>
    <x v="51"/>
  </r>
  <r>
    <n v="5"/>
    <s v="Male"/>
    <x v="1"/>
    <x v="0"/>
    <s v="PayPal"/>
    <x v="1"/>
    <s v="Dallas"/>
    <s v="Online"/>
    <s v="Returned"/>
    <n v="364.7761269469521"/>
    <n v="22.17917729923893"/>
    <x v="6"/>
    <n v="2.750715816324262"/>
    <x v="52"/>
  </r>
  <r>
    <n v="7"/>
    <s v="Male"/>
    <x v="4"/>
    <x v="1"/>
    <s v="Cash"/>
    <x v="2"/>
    <s v="Los Angeles"/>
    <s v="Online"/>
    <s v="Cancelled"/>
    <n v="449.13093283360729"/>
    <n v="34.168209673514582"/>
    <x v="17"/>
    <n v="5.4069272717344461"/>
    <x v="53"/>
  </r>
  <r>
    <n v="9"/>
    <s v="Male"/>
    <x v="2"/>
    <x v="0"/>
    <s v="Bank Transfer"/>
    <x v="2"/>
    <s v="San Diego"/>
    <s v="Online"/>
    <s v="Cancelled"/>
    <n v="545.77266574920179"/>
    <n v="28.966599379394442"/>
    <x v="1"/>
    <n v="4.0998690570415128"/>
    <x v="54"/>
  </r>
  <r>
    <n v="11"/>
    <s v="Male"/>
    <x v="4"/>
    <x v="0"/>
    <s v="Cash"/>
    <x v="1"/>
    <s v="New York"/>
    <s v="Catalog"/>
    <s v="Returned"/>
    <n v="600.05114910613997"/>
    <n v="37.920198615682011"/>
    <x v="14"/>
    <n v="4.4498966056967122"/>
    <x v="55"/>
  </r>
  <r>
    <n v="13"/>
    <s v="Male"/>
    <x v="2"/>
    <x v="2"/>
    <s v="PayPal"/>
    <x v="2"/>
    <s v="Los Angeles"/>
    <s v="Catalog"/>
    <s v="Completed"/>
    <n v="491.90097738880718"/>
    <n v="34.509555299643331"/>
    <x v="2"/>
    <n v="2.2344005380713279"/>
    <x v="56"/>
  </r>
  <r>
    <n v="15"/>
    <s v="Male"/>
    <x v="3"/>
    <x v="0"/>
    <s v="Cash"/>
    <x v="0"/>
    <s v="New York"/>
    <s v="Online"/>
    <s v="Cancelled"/>
    <n v="734.54360210915809"/>
    <n v="38.91018632957595"/>
    <x v="12"/>
    <n v="7.7337485348890489"/>
    <x v="57"/>
  </r>
  <r>
    <n v="17"/>
    <s v="Male"/>
    <x v="4"/>
    <x v="0"/>
    <s v="Cash"/>
    <x v="2"/>
    <s v="Los Angeles"/>
    <s v="Catalog"/>
    <s v="Pending"/>
    <n v="614.24978057956264"/>
    <n v="34.481965046749572"/>
    <x v="16"/>
    <n v="5.4279598214684439"/>
    <x v="58"/>
  </r>
  <r>
    <n v="19"/>
    <s v="Male"/>
    <x v="1"/>
    <x v="0"/>
    <s v="Bank Transfer"/>
    <x v="3"/>
    <s v="Houston"/>
    <s v="In-store"/>
    <s v="Pending"/>
    <n v="696.81069761586082"/>
    <n v="30.21220372182901"/>
    <x v="0"/>
    <n v="4.4611863311108841"/>
    <x v="59"/>
  </r>
  <r>
    <n v="21"/>
    <s v="Male"/>
    <x v="0"/>
    <x v="0"/>
    <s v="Cash"/>
    <x v="2"/>
    <s v="Dallas"/>
    <s v="Phone"/>
    <s v="Pending"/>
    <n v="495.58882510192927"/>
    <n v="25.761026144140789"/>
    <x v="2"/>
    <n v="2.2344005380713279"/>
    <x v="60"/>
  </r>
  <r>
    <n v="23"/>
    <s v="Male"/>
    <x v="3"/>
    <x v="2"/>
    <s v="PayPal"/>
    <x v="2"/>
    <s v="Phoenix"/>
    <s v="Catalog"/>
    <s v="Returned"/>
    <n v="294.05947140624812"/>
    <n v="42.450393069510469"/>
    <x v="6"/>
    <n v="2.391060998990294"/>
    <x v="61"/>
  </r>
  <r>
    <n v="25"/>
    <s v="Male"/>
    <x v="2"/>
    <x v="1"/>
    <s v="PayPal"/>
    <x v="1"/>
    <s v="Chicago"/>
    <s v="In-store"/>
    <s v="Completed"/>
    <n v="415.68001582094871"/>
    <n v="23.1050477214369"/>
    <x v="0"/>
    <n v="2.391060998990294"/>
    <x v="62"/>
  </r>
  <r>
    <n v="27"/>
    <s v="Male"/>
    <x v="1"/>
    <x v="2"/>
    <s v="Bank Transfer"/>
    <x v="0"/>
    <s v="Philadelphia"/>
    <s v="Catalog"/>
    <s v="Pending"/>
    <n v="720.91010268149512"/>
    <n v="37.446775253972348"/>
    <x v="3"/>
    <n v="7.1168489736991756"/>
    <x v="63"/>
  </r>
  <r>
    <n v="29"/>
    <s v="Male"/>
    <x v="4"/>
    <x v="0"/>
    <s v="PayPal"/>
    <x v="3"/>
    <s v="Phoenix"/>
    <s v="Phone"/>
    <s v="Returned"/>
    <n v="573.45234536559701"/>
    <n v="31.988254494707039"/>
    <x v="2"/>
    <n v="4.5020717030418531"/>
    <x v="64"/>
  </r>
  <r>
    <n v="31"/>
    <s v="Male"/>
    <x v="0"/>
    <x v="2"/>
    <s v="Cash"/>
    <x v="3"/>
    <s v="Los Angeles"/>
    <s v="Catalog"/>
    <s v="Completed"/>
    <n v="545.77266574920179"/>
    <n v="42.957474570995288"/>
    <x v="1"/>
    <n v="4.4498966056967122"/>
    <x v="65"/>
  </r>
  <r>
    <n v="33"/>
    <s v="Male"/>
    <x v="2"/>
    <x v="0"/>
    <s v="PayPal"/>
    <x v="0"/>
    <s v="Houston"/>
    <s v="Online"/>
    <s v="Completed"/>
    <n v="610.02358125508351"/>
    <n v="37.920198615682011"/>
    <x v="15"/>
    <n v="7.3585943681276529"/>
    <x v="66"/>
  </r>
  <r>
    <n v="35"/>
    <s v="Male"/>
    <x v="4"/>
    <x v="1"/>
    <s v="PayPal"/>
    <x v="1"/>
    <s v="Houston"/>
    <s v="Online"/>
    <s v="Cancelled"/>
    <n v="307.91532286630729"/>
    <n v="28.213310860324128"/>
    <x v="0"/>
    <n v="2.6042442148223031"/>
    <x v="67"/>
  </r>
  <r>
    <n v="37"/>
    <s v="Male"/>
    <x v="3"/>
    <x v="1"/>
    <s v="Credit Card"/>
    <x v="1"/>
    <s v="Phoenix"/>
    <s v="Catalog"/>
    <s v="Completed"/>
    <n v="449.13093283360729"/>
    <n v="42.450393069510469"/>
    <x v="10"/>
    <n v="2.6334829746684498"/>
    <x v="68"/>
  </r>
  <r>
    <n v="39"/>
    <s v="Male"/>
    <x v="0"/>
    <x v="0"/>
    <s v="PayPal"/>
    <x v="2"/>
    <s v="Chicago"/>
    <s v="Phone"/>
    <s v="Completed"/>
    <n v="252.880529766411"/>
    <n v="35.14527034142445"/>
    <x v="16"/>
    <n v="5.622500309087072"/>
    <x v="69"/>
  </r>
  <r>
    <n v="41"/>
    <s v="Male"/>
    <x v="1"/>
    <x v="0"/>
    <s v="Bank Transfer"/>
    <x v="2"/>
    <s v="San Jose"/>
    <s v="Phone"/>
    <s v="Returned"/>
    <n v="447.27848635895299"/>
    <n v="42.957474570995288"/>
    <x v="5"/>
    <n v="8.929450265832779"/>
    <x v="70"/>
  </r>
  <r>
    <n v="43"/>
    <s v="Male"/>
    <x v="2"/>
    <x v="2"/>
    <s v="Cash"/>
    <x v="3"/>
    <s v="San Antonio"/>
    <s v="Phone"/>
    <s v="Returned"/>
    <n v="503.2671201808941"/>
    <n v="26.96311664321771"/>
    <x v="4"/>
    <n v="2.391060998990294"/>
    <x v="71"/>
  </r>
  <r>
    <n v="45"/>
    <s v="Male"/>
    <x v="0"/>
    <x v="2"/>
    <s v="Bank Transfer"/>
    <x v="1"/>
    <s v="San Diego"/>
    <s v="In-store"/>
    <s v="Completed"/>
    <n v="291.05760965024848"/>
    <n v="30.21220372182901"/>
    <x v="12"/>
    <n v="6.0288776681174978"/>
    <x v="72"/>
  </r>
  <r>
    <n v="47"/>
    <s v="Male"/>
    <x v="0"/>
    <x v="2"/>
    <s v="PayPal"/>
    <x v="0"/>
    <s v="San Jose"/>
    <s v="In-store"/>
    <s v="Cancelled"/>
    <n v="559.97758335747517"/>
    <n v="30.116527726833709"/>
    <x v="0"/>
    <n v="4.4611863311108841"/>
    <x v="73"/>
  </r>
  <r>
    <n v="49"/>
    <s v="Male"/>
    <x v="1"/>
    <x v="2"/>
    <s v="Credit Card"/>
    <x v="1"/>
    <s v="Chicago"/>
    <s v="Catalog"/>
    <s v="Returned"/>
    <n v="606.72437794032601"/>
    <n v="33.488511070211693"/>
    <x v="9"/>
    <n v="4.4498966056967122"/>
    <x v="74"/>
  </r>
  <r>
    <n v="51"/>
    <s v="Male"/>
    <x v="1"/>
    <x v="0"/>
    <s v="Credit Card"/>
    <x v="3"/>
    <s v="Phoenix"/>
    <s v="Phone"/>
    <s v="Pending"/>
    <n v="504.65458741369969"/>
    <n v="42.450393069510469"/>
    <x v="12"/>
    <n v="6.5150154200946098"/>
    <x v="75"/>
  </r>
  <r>
    <n v="53"/>
    <s v="Male"/>
    <x v="3"/>
    <x v="1"/>
    <s v="Bank Transfer"/>
    <x v="2"/>
    <s v="Dallas"/>
    <s v="In-store"/>
    <s v="Pending"/>
    <n v="569.036813905543"/>
    <n v="37.510906147376723"/>
    <x v="10"/>
    <n v="4.5019279208872431"/>
    <x v="76"/>
  </r>
  <r>
    <n v="55"/>
    <s v="Male"/>
    <x v="0"/>
    <x v="2"/>
    <s v="Bank Transfer"/>
    <x v="3"/>
    <s v="New York"/>
    <s v="Phone"/>
    <s v="Pending"/>
    <n v="438.67524693903368"/>
    <n v="25.659829377999021"/>
    <x v="10"/>
    <n v="2.6334829746684498"/>
    <x v="77"/>
  </r>
  <r>
    <n v="57"/>
    <s v="Male"/>
    <x v="4"/>
    <x v="1"/>
    <s v="Credit Card"/>
    <x v="3"/>
    <s v="Philadelphia"/>
    <s v="Online"/>
    <s v="Completed"/>
    <n v="497.81317760107709"/>
    <n v="28.213310860324128"/>
    <x v="21"/>
    <n v="5.7331964921936969"/>
    <x v="78"/>
  </r>
  <r>
    <n v="59"/>
    <s v="Male"/>
    <x v="4"/>
    <x v="0"/>
    <s v="Cash"/>
    <x v="3"/>
    <s v="San Antonio"/>
    <s v="In-store"/>
    <s v="Pending"/>
    <n v="523.01127462814736"/>
    <n v="32.509503541037532"/>
    <x v="1"/>
    <n v="3.9722661653266131"/>
    <x v="79"/>
  </r>
  <r>
    <n v="61"/>
    <s v="Male"/>
    <x v="0"/>
    <x v="1"/>
    <s v="Bank Transfer"/>
    <x v="1"/>
    <s v="Los Angeles"/>
    <s v="Online"/>
    <s v="Completed"/>
    <n v="319.56344705841639"/>
    <n v="42.863547025446572"/>
    <x v="0"/>
    <n v="2.6042442148223031"/>
    <x v="80"/>
  </r>
  <r>
    <n v="63"/>
    <s v="Male"/>
    <x v="1"/>
    <x v="2"/>
    <s v="PayPal"/>
    <x v="0"/>
    <s v="San Antonio"/>
    <s v="Catalog"/>
    <s v="Completed"/>
    <n v="305.47024795509333"/>
    <n v="20.833658043879868"/>
    <x v="0"/>
    <n v="2.6042442148223031"/>
    <x v="81"/>
  </r>
  <r>
    <n v="65"/>
    <s v="Male"/>
    <x v="2"/>
    <x v="2"/>
    <s v="Cash"/>
    <x v="3"/>
    <s v="Phoenix"/>
    <s v="Catalog"/>
    <s v="Returned"/>
    <n v="473.37922936466907"/>
    <n v="25.369547601790899"/>
    <x v="6"/>
    <n v="2.750715816324262"/>
    <x v="82"/>
  </r>
  <r>
    <n v="67"/>
    <s v="Male"/>
    <x v="0"/>
    <x v="0"/>
    <s v="Credit Card"/>
    <x v="0"/>
    <s v="San Jose"/>
    <s v="Online"/>
    <s v="Completed"/>
    <n v="659.36358432663053"/>
    <n v="35.629086509343651"/>
    <x v="19"/>
    <n v="5.7681308978786143"/>
    <x v="83"/>
  </r>
  <r>
    <n v="69"/>
    <s v="Male"/>
    <x v="3"/>
    <x v="2"/>
    <s v="Bank Transfer"/>
    <x v="3"/>
    <s v="Philadelphia"/>
    <s v="Catalog"/>
    <s v="Cancelled"/>
    <n v="608.0353746788893"/>
    <n v="33.594994608612112"/>
    <x v="1"/>
    <n v="4.4611863311108841"/>
    <x v="84"/>
  </r>
  <r>
    <n v="71"/>
    <s v="Male"/>
    <x v="1"/>
    <x v="2"/>
    <s v="PayPal"/>
    <x v="2"/>
    <s v="Houston"/>
    <s v="Phone"/>
    <s v="Returned"/>
    <n v="573.24211385453748"/>
    <n v="31.780339128994552"/>
    <x v="2"/>
    <n v="4.5020717030418531"/>
    <x v="85"/>
  </r>
  <r>
    <n v="73"/>
    <s v="Male"/>
    <x v="3"/>
    <x v="2"/>
    <s v="PayPal"/>
    <x v="0"/>
    <s v="Houston"/>
    <s v="In-store"/>
    <s v="Completed"/>
    <n v="581.24124671152902"/>
    <n v="32.124851019620138"/>
    <x v="4"/>
    <n v="4.5580608009335544"/>
    <x v="86"/>
  </r>
  <r>
    <n v="75"/>
    <s v="Male"/>
    <x v="4"/>
    <x v="2"/>
    <s v="PayPal"/>
    <x v="2"/>
    <s v="San Diego"/>
    <s v="Catalog"/>
    <s v="Returned"/>
    <n v="545.77266574920179"/>
    <n v="28.61134162948003"/>
    <x v="0"/>
    <n v="2.391060998990294"/>
    <x v="87"/>
  </r>
  <r>
    <n v="77"/>
    <s v="Male"/>
    <x v="3"/>
    <x v="0"/>
    <s v="Cash"/>
    <x v="2"/>
    <s v="Chicago"/>
    <s v="Catalog"/>
    <s v="Pending"/>
    <n v="886.1339798802187"/>
    <n v="21.380953935177011"/>
    <x v="0"/>
    <n v="2.6334829746684498"/>
    <x v="88"/>
  </r>
  <r>
    <n v="79"/>
    <s v="Male"/>
    <x v="0"/>
    <x v="2"/>
    <s v="Credit Card"/>
    <x v="3"/>
    <s v="New York"/>
    <s v="Online"/>
    <s v="Cancelled"/>
    <n v="886.1339798802187"/>
    <n v="28.856357791851678"/>
    <x v="13"/>
    <n v="9.1214958497639742"/>
    <x v="89"/>
  </r>
  <r>
    <n v="81"/>
    <s v="Male"/>
    <x v="4"/>
    <x v="0"/>
    <s v="PayPal"/>
    <x v="2"/>
    <s v="Phoenix"/>
    <s v="In-store"/>
    <s v="Completed"/>
    <n v="558.42480133446179"/>
    <n v="22.71292327512996"/>
    <x v="0"/>
    <n v="4.4611863311108841"/>
    <x v="90"/>
  </r>
  <r>
    <n v="83"/>
    <s v="Male"/>
    <x v="1"/>
    <x v="0"/>
    <s v="PayPal"/>
    <x v="0"/>
    <s v="San Diego"/>
    <s v="Catalog"/>
    <s v="Pending"/>
    <n v="252.880529766411"/>
    <n v="34.233542912614041"/>
    <x v="16"/>
    <n v="5.4069272717344461"/>
    <x v="91"/>
  </r>
  <r>
    <n v="85"/>
    <s v="Male"/>
    <x v="2"/>
    <x v="0"/>
    <s v="Bank Transfer"/>
    <x v="3"/>
    <s v="Houston"/>
    <s v="In-store"/>
    <s v="Pending"/>
    <n v="817.8805740858752"/>
    <n v="35.14527034142445"/>
    <x v="11"/>
    <n v="8.2899354270025682"/>
    <x v="92"/>
  </r>
  <r>
    <n v="87"/>
    <s v="Male"/>
    <x v="2"/>
    <x v="1"/>
    <s v="Credit Card"/>
    <x v="1"/>
    <s v="Phoenix"/>
    <s v="Phone"/>
    <s v="Returned"/>
    <n v="518.08895796790466"/>
    <n v="34.509555299643331"/>
    <x v="16"/>
    <n v="5.4279598214684439"/>
    <x v="93"/>
  </r>
  <r>
    <n v="89"/>
    <s v="Male"/>
    <x v="1"/>
    <x v="1"/>
    <s v="Credit Card"/>
    <x v="3"/>
    <s v="Chicago"/>
    <s v="Phone"/>
    <s v="Completed"/>
    <n v="375.22752388249648"/>
    <n v="21.380953935177011"/>
    <x v="0"/>
    <n v="2.2344005380713279"/>
    <x v="94"/>
  </r>
  <r>
    <n v="91"/>
    <s v="Male"/>
    <x v="3"/>
    <x v="1"/>
    <s v="Bank Transfer"/>
    <x v="1"/>
    <s v="Philadelphia"/>
    <s v="Online"/>
    <s v="Pending"/>
    <n v="291.05760965024848"/>
    <n v="39.870098609562831"/>
    <x v="19"/>
    <n v="6.0288776681174978"/>
    <x v="95"/>
  </r>
  <r>
    <n v="93"/>
    <s v="Male"/>
    <x v="0"/>
    <x v="2"/>
    <s v="Bank Transfer"/>
    <x v="0"/>
    <s v="San Diego"/>
    <s v="Catalog"/>
    <s v="Cancelled"/>
    <n v="454.85168594785551"/>
    <n v="21.380953935177011"/>
    <x v="10"/>
    <n v="2.750715816324262"/>
    <x v="96"/>
  </r>
  <r>
    <n v="95"/>
    <s v="Male"/>
    <x v="4"/>
    <x v="0"/>
    <s v="Credit Card"/>
    <x v="1"/>
    <s v="Philadelphia"/>
    <s v="Catalog"/>
    <s v="Returned"/>
    <n v="518.08895796790466"/>
    <n v="37.920198615682011"/>
    <x v="14"/>
    <n v="3.028547907328913"/>
    <x v="97"/>
  </r>
  <r>
    <n v="97"/>
    <s v="Male"/>
    <x v="1"/>
    <x v="0"/>
    <s v="Cash"/>
    <x v="3"/>
    <s v="Dallas"/>
    <s v="In-store"/>
    <s v="Completed"/>
    <n v="734.54360210915809"/>
    <n v="36.040297721835898"/>
    <x v="3"/>
    <n v="6.5150154200946098"/>
    <x v="98"/>
  </r>
  <r>
    <n v="99"/>
    <s v="Male"/>
    <x v="4"/>
    <x v="1"/>
    <s v="Bank Transfer"/>
    <x v="3"/>
    <s v="San Diego"/>
    <s v="Catalog"/>
    <s v="Returned"/>
    <n v="504.65458741369969"/>
    <n v="25.659829377999021"/>
    <x v="14"/>
    <n v="2.9295153551612518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3750E-1318-4FE0-B16C-D88C51B5FAE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4:L9" firstHeaderRow="1" firstDataRow="1" firstDataCol="1"/>
  <pivotFields count="1"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9B77C-F793-43A4-8C4C-21A1DD690802}" name="PivotTable6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23:J30" firstHeaderRow="1" firstDataRow="2" firstDataCol="1"/>
  <pivotFields count="14"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numFmtId="1" showAll="0"/>
    <pivotField numFmtId="9" showAll="0"/>
    <pivotField numFmtId="1" showAll="0"/>
    <pivotField numFmtId="9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9" baseField="0" baseItem="0" numFmtId="2"/>
  </dataFields>
  <formats count="10"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3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3362A-8B5D-4824-A594-8E8CEE848889}" name="PivotTable5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F11:J18" firstHeaderRow="1" firstDataRow="2" firstDataCol="1"/>
  <pivotFields count="14"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" showAll="0"/>
    <pivotField numFmtId="9" showAll="0"/>
    <pivotField numFmtId="1" showAll="0"/>
    <pivotField numFmtId="9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ustomer_Segment" fld="3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11197-8613-4EE2-BDC0-7EF4A38542A9}" name="PivotTable4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B11:D37" firstHeaderRow="0" firstDataRow="1" firstDataCol="1"/>
  <pivotFields count="14"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numFmtId="2" showAll="0"/>
    <pivotField dataField="1" numFmtId="1" showAll="0"/>
    <pivotField numFmtId="9" showAll="0"/>
    <pivotField numFmtId="1" showAll="0"/>
    <pivotField numFmtId="9" showAll="0"/>
  </pivotFields>
  <rowFields count="2">
    <field x="2"/>
    <field x="5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9" subtotal="average" baseField="2" baseItem="0"/>
    <dataField name="Average of Quantity Sold" fld="10" subtotal="average" baseField="2" baseItem="0"/>
  </dataFields>
  <formats count="22">
    <format dxfId="58">
      <pivotArea collapsedLevelsAreSubtotals="1" fieldPosition="0">
        <references count="1">
          <reference field="2" count="1">
            <x v="0"/>
          </reference>
        </references>
      </pivotArea>
    </format>
    <format dxfId="57">
      <pivotArea collapsedLevelsAreSubtotals="1" fieldPosition="0">
        <references count="2">
          <reference field="2" count="1" selected="0">
            <x v="0"/>
          </reference>
          <reference field="5" count="0"/>
        </references>
      </pivotArea>
    </format>
    <format dxfId="56">
      <pivotArea collapsedLevelsAreSubtotals="1" fieldPosition="0">
        <references count="1">
          <reference field="2" count="1">
            <x v="1"/>
          </reference>
        </references>
      </pivotArea>
    </format>
    <format dxfId="55">
      <pivotArea collapsedLevelsAreSubtotals="1" fieldPosition="0">
        <references count="2">
          <reference field="2" count="1" selected="0">
            <x v="1"/>
          </reference>
          <reference field="5" count="0"/>
        </references>
      </pivotArea>
    </format>
    <format dxfId="54">
      <pivotArea collapsedLevelsAreSubtotals="1" fieldPosition="0">
        <references count="1">
          <reference field="2" count="1">
            <x v="2"/>
          </reference>
        </references>
      </pivotArea>
    </format>
    <format dxfId="53">
      <pivotArea collapsedLevelsAreSubtotals="1" fieldPosition="0">
        <references count="2">
          <reference field="2" count="1" selected="0">
            <x v="2"/>
          </reference>
          <reference field="5" count="0"/>
        </references>
      </pivotArea>
    </format>
    <format dxfId="52">
      <pivotArea collapsedLevelsAreSubtotals="1" fieldPosition="0">
        <references count="1">
          <reference field="2" count="1">
            <x v="3"/>
          </reference>
        </references>
      </pivotArea>
    </format>
    <format dxfId="51">
      <pivotArea collapsedLevelsAreSubtotals="1" fieldPosition="0">
        <references count="2">
          <reference field="2" count="1" selected="0">
            <x v="3"/>
          </reference>
          <reference field="5" count="0"/>
        </references>
      </pivotArea>
    </format>
    <format dxfId="50">
      <pivotArea collapsedLevelsAreSubtotals="1" fieldPosition="0">
        <references count="1">
          <reference field="2" count="1">
            <x v="4"/>
          </reference>
        </references>
      </pivotArea>
    </format>
    <format dxfId="49">
      <pivotArea collapsedLevelsAreSubtotals="1" fieldPosition="0">
        <references count="2">
          <reference field="2" count="1" selected="0">
            <x v="4"/>
          </reference>
          <reference field="5" count="0"/>
        </references>
      </pivotArea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fieldPosition="0">
        <references count="2">
          <reference field="2" count="1" selected="0">
            <x v="0"/>
          </reference>
          <reference field="5" count="0"/>
        </references>
      </pivotArea>
    </format>
    <format dxfId="45">
      <pivotArea dataOnly="0" labelOnly="1" fieldPosition="0">
        <references count="2">
          <reference field="2" count="1" selected="0">
            <x v="1"/>
          </reference>
          <reference field="5" count="0"/>
        </references>
      </pivotArea>
    </format>
    <format dxfId="44">
      <pivotArea dataOnly="0" labelOnly="1" fieldPosition="0">
        <references count="2">
          <reference field="2" count="1" selected="0">
            <x v="2"/>
          </reference>
          <reference field="5" count="0"/>
        </references>
      </pivotArea>
    </format>
    <format dxfId="43">
      <pivotArea dataOnly="0" labelOnly="1" fieldPosition="0">
        <references count="2">
          <reference field="2" count="1" selected="0">
            <x v="3"/>
          </reference>
          <reference field="5" count="0"/>
        </references>
      </pivotArea>
    </format>
    <format dxfId="42">
      <pivotArea dataOnly="0" labelOnly="1" fieldPosition="0">
        <references count="2">
          <reference field="2" count="1" selected="0">
            <x v="4"/>
          </reference>
          <reference field="5" count="0"/>
        </references>
      </pivotArea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collapsedLevelsAreSubtotals="1" fieldPosition="0">
        <references count="2">
          <reference field="2" count="1" selected="0">
            <x v="4"/>
          </reference>
          <reference field="5" count="1">
            <x v="3"/>
          </reference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dataOnly="0" labelOnly="1" fieldPosition="0">
        <references count="2">
          <reference field="2" count="1" selected="0">
            <x v="4"/>
          </reference>
          <reference field="5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DDAB4-1BB8-4AF3-86CB-601D4D72285B}" name="PivotTable3" cacheId="16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B3:H6" firstHeaderRow="1" firstDataRow="2" firstDataCol="1"/>
  <pivotFields count="14">
    <pivotField showAll="0"/>
    <pivotField showAll="0"/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dataField="1" numFmtId="9" showAll="0">
      <items count="23">
        <item x="8"/>
        <item x="6"/>
        <item x="0"/>
        <item x="10"/>
        <item x="2"/>
        <item x="4"/>
        <item x="14"/>
        <item x="20"/>
        <item x="9"/>
        <item x="1"/>
        <item x="17"/>
        <item x="16"/>
        <item x="18"/>
        <item x="21"/>
        <item x="19"/>
        <item x="7"/>
        <item x="3"/>
        <item x="15"/>
        <item x="12"/>
        <item x="11"/>
        <item x="5"/>
        <item x="13"/>
        <item t="default"/>
      </items>
    </pivotField>
    <pivotField numFmtId="1" showAll="0"/>
    <pivotField dataField="1" numFmtId="9" showAll="0">
      <items count="101">
        <item x="47"/>
        <item x="10"/>
        <item x="8"/>
        <item x="61"/>
        <item x="81"/>
        <item x="67"/>
        <item x="80"/>
        <item x="88"/>
        <item x="36"/>
        <item x="34"/>
        <item x="52"/>
        <item x="3"/>
        <item x="94"/>
        <item x="45"/>
        <item x="0"/>
        <item x="37"/>
        <item x="4"/>
        <item x="62"/>
        <item x="87"/>
        <item x="49"/>
        <item x="21"/>
        <item x="46"/>
        <item x="77"/>
        <item x="48"/>
        <item x="68"/>
        <item x="96"/>
        <item x="12"/>
        <item x="82"/>
        <item x="14"/>
        <item x="24"/>
        <item x="38"/>
        <item x="51"/>
        <item x="56"/>
        <item x="60"/>
        <item x="25"/>
        <item x="6"/>
        <item x="71"/>
        <item x="99"/>
        <item x="97"/>
        <item x="44"/>
        <item x="11"/>
        <item x="79"/>
        <item x="13"/>
        <item x="28"/>
        <item x="54"/>
        <item x="35"/>
        <item x="65"/>
        <item x="17"/>
        <item x="90"/>
        <item x="73"/>
        <item x="59"/>
        <item x="40"/>
        <item x="76"/>
        <item x="50"/>
        <item x="85"/>
        <item x="64"/>
        <item x="2"/>
        <item x="86"/>
        <item x="15"/>
        <item x="22"/>
        <item x="55"/>
        <item x="42"/>
        <item x="74"/>
        <item x="84"/>
        <item x="1"/>
        <item x="31"/>
        <item x="53"/>
        <item x="91"/>
        <item x="58"/>
        <item x="93"/>
        <item x="30"/>
        <item x="69"/>
        <item x="33"/>
        <item x="78"/>
        <item x="83"/>
        <item x="39"/>
        <item x="95"/>
        <item x="29"/>
        <item x="9"/>
        <item x="98"/>
        <item x="43"/>
        <item x="23"/>
        <item x="19"/>
        <item x="63"/>
        <item x="5"/>
        <item x="66"/>
        <item x="26"/>
        <item x="57"/>
        <item x="18"/>
        <item x="72"/>
        <item x="41"/>
        <item x="32"/>
        <item x="75"/>
        <item x="16"/>
        <item x="92"/>
        <item x="27"/>
        <item x="7"/>
        <item x="70"/>
        <item x="89"/>
        <item x="20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name="Profit_Margin" fld="13" subtotal="average" baseField="2" baseItem="0"/>
    <dataField name="Discount_Rate" fld="11" subtotal="average" baseField="2" baseItem="0"/>
  </dataFields>
  <formats count="9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2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-2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grandCol="1" outline="0" fieldPosition="0"/>
    </format>
  </formats>
  <chartFormats count="5"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P6" sqref="P6"/>
    </sheetView>
  </sheetViews>
  <sheetFormatPr defaultColWidth="11.25" defaultRowHeight="15.75" x14ac:dyDescent="0.25"/>
  <cols>
    <col min="1" max="1" width="11.25" bestFit="1" customWidth="1"/>
    <col min="2" max="2" width="7.25" style="1" bestFit="1" customWidth="1"/>
    <col min="3" max="3" width="16.25" style="1" bestFit="1" customWidth="1"/>
    <col min="4" max="4" width="17.5" style="1" bestFit="1" customWidth="1"/>
    <col min="5" max="5" width="15.75" style="1" bestFit="1" customWidth="1"/>
    <col min="6" max="6" width="6.75" style="1" bestFit="1" customWidth="1"/>
    <col min="7" max="7" width="11.25" style="1" bestFit="1" customWidth="1"/>
    <col min="8" max="8" width="13" style="1" bestFit="1" customWidth="1"/>
    <col min="9" max="9" width="12" style="1" bestFit="1" customWidth="1"/>
    <col min="10" max="10" width="6.75" style="1" bestFit="1" customWidth="1"/>
    <col min="11" max="11" width="11.75" style="3" bestFit="1" customWidth="1"/>
    <col min="12" max="12" width="11.75" style="1" bestFit="1" customWidth="1"/>
    <col min="13" max="13" width="13.25" style="1" bestFit="1" customWidth="1"/>
    <col min="14" max="14" width="11.25" style="1" bestFit="1" customWidth="1"/>
  </cols>
  <sheetData>
    <row r="1" spans="1:14" x14ac:dyDescent="0.25">
      <c r="A1" s="2" t="s">
        <v>42</v>
      </c>
      <c r="B1" s="5" t="s">
        <v>43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6" t="s">
        <v>46</v>
      </c>
      <c r="K1" s="7" t="s">
        <v>47</v>
      </c>
      <c r="L1" s="6" t="s">
        <v>48</v>
      </c>
      <c r="M1" s="5" t="s">
        <v>6</v>
      </c>
      <c r="N1" s="6" t="s">
        <v>49</v>
      </c>
    </row>
    <row r="2" spans="1:14" x14ac:dyDescent="0.25">
      <c r="A2">
        <v>2</v>
      </c>
      <c r="B2" s="3" t="s">
        <v>45</v>
      </c>
      <c r="C2" s="1" t="s">
        <v>15</v>
      </c>
      <c r="D2" s="1" t="s">
        <v>22</v>
      </c>
      <c r="E2" s="1" t="s">
        <v>29</v>
      </c>
      <c r="F2" s="1" t="s">
        <v>35</v>
      </c>
      <c r="G2" s="1" t="s">
        <v>32</v>
      </c>
      <c r="H2" s="1" t="s">
        <v>26</v>
      </c>
      <c r="I2" s="1" t="s">
        <v>13</v>
      </c>
      <c r="J2" s="1">
        <v>886.1339798802187</v>
      </c>
      <c r="K2" s="3">
        <v>22.67066139610537</v>
      </c>
      <c r="L2" s="4">
        <v>9.9897857119795777E-2</v>
      </c>
      <c r="M2" s="3">
        <v>2.2397970835702168</v>
      </c>
      <c r="N2" s="4">
        <v>0.2207370029864176</v>
      </c>
    </row>
    <row r="3" spans="1:14" x14ac:dyDescent="0.25">
      <c r="A3">
        <v>4</v>
      </c>
      <c r="B3" s="3" t="s">
        <v>45</v>
      </c>
      <c r="C3" s="1" t="s">
        <v>40</v>
      </c>
      <c r="D3" s="1" t="s">
        <v>16</v>
      </c>
      <c r="E3" s="1" t="s">
        <v>10</v>
      </c>
      <c r="F3" s="1" t="s">
        <v>18</v>
      </c>
      <c r="G3" s="1" t="s">
        <v>24</v>
      </c>
      <c r="H3" s="1" t="s">
        <v>26</v>
      </c>
      <c r="I3" s="1" t="s">
        <v>13</v>
      </c>
      <c r="J3" s="1">
        <v>610.02358125508351</v>
      </c>
      <c r="K3" s="3">
        <v>22.71292327512996</v>
      </c>
      <c r="L3" s="4">
        <v>0.18491415701193711</v>
      </c>
      <c r="M3" s="3">
        <v>4.7441648170384667</v>
      </c>
      <c r="N3" s="4">
        <v>0.30629010595447159</v>
      </c>
    </row>
    <row r="4" spans="1:14" x14ac:dyDescent="0.25">
      <c r="A4">
        <v>6</v>
      </c>
      <c r="B4" s="3" t="s">
        <v>45</v>
      </c>
      <c r="C4" s="1" t="s">
        <v>21</v>
      </c>
      <c r="D4" s="1" t="s">
        <v>16</v>
      </c>
      <c r="E4" s="1" t="s">
        <v>29</v>
      </c>
      <c r="F4" s="1" t="s">
        <v>18</v>
      </c>
      <c r="G4" s="1" t="s">
        <v>41</v>
      </c>
      <c r="H4" s="1" t="s">
        <v>12</v>
      </c>
      <c r="I4" s="1" t="s">
        <v>19</v>
      </c>
      <c r="J4" s="1">
        <v>576.61392133806294</v>
      </c>
      <c r="K4" s="3">
        <v>32.112950746165673</v>
      </c>
      <c r="L4" s="4">
        <v>0.17917733206862821</v>
      </c>
      <c r="M4" s="3">
        <v>4.5020717030418531</v>
      </c>
      <c r="N4" s="4">
        <v>0.29212239699142872</v>
      </c>
    </row>
    <row r="5" spans="1:14" x14ac:dyDescent="0.25">
      <c r="A5">
        <v>8</v>
      </c>
      <c r="B5" s="3" t="s">
        <v>45</v>
      </c>
      <c r="C5" s="1" t="s">
        <v>21</v>
      </c>
      <c r="D5" s="1" t="s">
        <v>22</v>
      </c>
      <c r="E5" s="1" t="s">
        <v>37</v>
      </c>
      <c r="F5" s="1" t="s">
        <v>18</v>
      </c>
      <c r="G5" s="1" t="s">
        <v>24</v>
      </c>
      <c r="H5" s="1" t="s">
        <v>12</v>
      </c>
      <c r="I5" s="1" t="s">
        <v>13</v>
      </c>
      <c r="J5" s="1">
        <v>372.90517238163818</v>
      </c>
      <c r="K5" s="3">
        <v>32.509503541037532</v>
      </c>
      <c r="L5" s="4">
        <v>9.9897857119795777E-2</v>
      </c>
      <c r="M5" s="3">
        <v>2.1554925808046521</v>
      </c>
      <c r="N5" s="4">
        <v>0.2110494352398164</v>
      </c>
    </row>
    <row r="6" spans="1:14" x14ac:dyDescent="0.25">
      <c r="A6">
        <v>10</v>
      </c>
      <c r="B6" s="3" t="s">
        <v>45</v>
      </c>
      <c r="C6" s="1" t="s">
        <v>15</v>
      </c>
      <c r="D6" s="1" t="s">
        <v>9</v>
      </c>
      <c r="E6" s="1" t="s">
        <v>17</v>
      </c>
      <c r="F6" s="1" t="s">
        <v>23</v>
      </c>
      <c r="G6" s="1" t="s">
        <v>32</v>
      </c>
      <c r="H6" s="1" t="s">
        <v>26</v>
      </c>
      <c r="I6" s="1" t="s">
        <v>27</v>
      </c>
      <c r="J6" s="1">
        <v>413.90524534251369</v>
      </c>
      <c r="K6" s="3">
        <v>22.800456610910508</v>
      </c>
      <c r="L6" s="4">
        <v>9.9897857119795777E-2</v>
      </c>
      <c r="M6" s="3">
        <v>2.391060998990294</v>
      </c>
      <c r="N6" s="4">
        <v>0.22284298272060979</v>
      </c>
    </row>
    <row r="7" spans="1:14" x14ac:dyDescent="0.25">
      <c r="A7">
        <v>12</v>
      </c>
      <c r="B7" s="3" t="s">
        <v>45</v>
      </c>
      <c r="C7" s="1" t="s">
        <v>8</v>
      </c>
      <c r="D7" s="1" t="s">
        <v>22</v>
      </c>
      <c r="E7" s="1" t="s">
        <v>29</v>
      </c>
      <c r="F7" s="1" t="s">
        <v>35</v>
      </c>
      <c r="G7" s="1" t="s">
        <v>41</v>
      </c>
      <c r="H7" s="1" t="s">
        <v>30</v>
      </c>
      <c r="I7" s="1" t="s">
        <v>19</v>
      </c>
      <c r="J7" s="1">
        <v>726.81693567394757</v>
      </c>
      <c r="K7" s="3">
        <v>34.168209673514582</v>
      </c>
      <c r="L7" s="4">
        <v>0.25577787661114959</v>
      </c>
      <c r="M7" s="3">
        <v>7.2391498228691544</v>
      </c>
      <c r="N7" s="4">
        <v>0.35155019849350672</v>
      </c>
    </row>
    <row r="8" spans="1:14" x14ac:dyDescent="0.25">
      <c r="A8">
        <v>14</v>
      </c>
      <c r="B8" s="3" t="s">
        <v>45</v>
      </c>
      <c r="C8" s="1" t="s">
        <v>8</v>
      </c>
      <c r="D8" s="1" t="s">
        <v>16</v>
      </c>
      <c r="E8" s="1" t="s">
        <v>10</v>
      </c>
      <c r="F8" s="1" t="s">
        <v>35</v>
      </c>
      <c r="G8" s="1" t="s">
        <v>34</v>
      </c>
      <c r="H8" s="1" t="s">
        <v>12</v>
      </c>
      <c r="I8" s="1" t="s">
        <v>13</v>
      </c>
      <c r="J8" s="1">
        <v>497.81317760107709</v>
      </c>
      <c r="K8" s="3">
        <v>34.233542912614041</v>
      </c>
      <c r="L8" s="4">
        <v>0.1810031805337412</v>
      </c>
      <c r="M8" s="3">
        <v>2.2397970835702168</v>
      </c>
      <c r="N8" s="4">
        <v>0.2680229457328035</v>
      </c>
    </row>
    <row r="9" spans="1:14" x14ac:dyDescent="0.25">
      <c r="A9">
        <v>16</v>
      </c>
      <c r="B9" s="3" t="s">
        <v>45</v>
      </c>
      <c r="C9" s="1" t="s">
        <v>8</v>
      </c>
      <c r="D9" s="1" t="s">
        <v>16</v>
      </c>
      <c r="E9" s="1" t="s">
        <v>10</v>
      </c>
      <c r="F9" s="1" t="s">
        <v>18</v>
      </c>
      <c r="G9" s="1" t="s">
        <v>20</v>
      </c>
      <c r="H9" s="1" t="s">
        <v>30</v>
      </c>
      <c r="I9" s="1" t="s">
        <v>27</v>
      </c>
      <c r="J9" s="1">
        <v>610.02358125508351</v>
      </c>
      <c r="K9" s="3">
        <v>42.863547025446572</v>
      </c>
      <c r="L9" s="4">
        <v>0.30486450852597691</v>
      </c>
      <c r="M9" s="3">
        <v>8.5106816848864089</v>
      </c>
      <c r="N9" s="4">
        <v>0.40987566214717058</v>
      </c>
    </row>
    <row r="10" spans="1:14" x14ac:dyDescent="0.25">
      <c r="A10">
        <v>18</v>
      </c>
      <c r="B10" s="3" t="s">
        <v>45</v>
      </c>
      <c r="C10" s="1" t="s">
        <v>21</v>
      </c>
      <c r="D10" s="1" t="s">
        <v>16</v>
      </c>
      <c r="E10" s="1" t="s">
        <v>37</v>
      </c>
      <c r="F10" s="1" t="s">
        <v>23</v>
      </c>
      <c r="G10" s="1" t="s">
        <v>24</v>
      </c>
      <c r="H10" s="1" t="s">
        <v>26</v>
      </c>
      <c r="I10" s="1" t="s">
        <v>31</v>
      </c>
      <c r="J10" s="1">
        <v>291.05760965024848</v>
      </c>
      <c r="K10" s="3">
        <v>19.701526021482589</v>
      </c>
      <c r="L10" s="4">
        <v>7.3005509594202878E-2</v>
      </c>
      <c r="M10" s="3">
        <v>2.391060998990294</v>
      </c>
      <c r="N10" s="4">
        <v>0.17712869665622341</v>
      </c>
    </row>
    <row r="11" spans="1:14" x14ac:dyDescent="0.25">
      <c r="A11">
        <v>20</v>
      </c>
      <c r="B11" s="3" t="s">
        <v>45</v>
      </c>
      <c r="C11" s="1" t="s">
        <v>25</v>
      </c>
      <c r="D11" s="1" t="s">
        <v>22</v>
      </c>
      <c r="E11" s="1" t="s">
        <v>37</v>
      </c>
      <c r="F11" s="1" t="s">
        <v>23</v>
      </c>
      <c r="G11" s="1" t="s">
        <v>28</v>
      </c>
      <c r="H11" s="1" t="s">
        <v>12</v>
      </c>
      <c r="I11" s="1" t="s">
        <v>31</v>
      </c>
      <c r="J11" s="1">
        <v>551.57500310812304</v>
      </c>
      <c r="K11" s="3">
        <v>42.328424856528947</v>
      </c>
      <c r="L11" s="4">
        <v>0.2498381806947613</v>
      </c>
      <c r="M11" s="3">
        <v>6.4350845115919242</v>
      </c>
      <c r="N11" s="4">
        <v>0.34135721988956752</v>
      </c>
    </row>
    <row r="12" spans="1:14" x14ac:dyDescent="0.25">
      <c r="A12">
        <v>22</v>
      </c>
      <c r="B12" s="3" t="s">
        <v>45</v>
      </c>
      <c r="C12" s="1" t="s">
        <v>21</v>
      </c>
      <c r="D12" s="1" t="s">
        <v>22</v>
      </c>
      <c r="E12" s="1" t="s">
        <v>37</v>
      </c>
      <c r="F12" s="1" t="s">
        <v>11</v>
      </c>
      <c r="G12" s="1" t="s">
        <v>41</v>
      </c>
      <c r="H12" s="1" t="s">
        <v>12</v>
      </c>
      <c r="I12" s="1" t="s">
        <v>19</v>
      </c>
      <c r="J12" s="1">
        <v>252.880529766411</v>
      </c>
      <c r="K12" s="3">
        <v>32.124851019620138</v>
      </c>
      <c r="L12" s="4">
        <v>7.0450973374120401E-2</v>
      </c>
      <c r="M12" s="3">
        <v>1</v>
      </c>
      <c r="N12" s="4">
        <v>0.14962905137318741</v>
      </c>
    </row>
    <row r="13" spans="1:14" x14ac:dyDescent="0.25">
      <c r="A13">
        <v>24</v>
      </c>
      <c r="B13" s="3" t="s">
        <v>45</v>
      </c>
      <c r="C13" s="1" t="s">
        <v>25</v>
      </c>
      <c r="D13" s="1" t="s">
        <v>16</v>
      </c>
      <c r="E13" s="1" t="s">
        <v>10</v>
      </c>
      <c r="F13" s="1" t="s">
        <v>11</v>
      </c>
      <c r="G13" s="1" t="s">
        <v>36</v>
      </c>
      <c r="H13" s="1" t="s">
        <v>12</v>
      </c>
      <c r="I13" s="1" t="s">
        <v>31</v>
      </c>
      <c r="J13" s="1">
        <v>521.92242249612491</v>
      </c>
      <c r="K13" s="3">
        <v>27.640040591643441</v>
      </c>
      <c r="L13" s="4">
        <v>0.18479239883959939</v>
      </c>
      <c r="M13" s="3">
        <v>3.9722661653266131</v>
      </c>
      <c r="N13" s="4">
        <v>0.27367669906443659</v>
      </c>
    </row>
    <row r="14" spans="1:14" x14ac:dyDescent="0.25">
      <c r="A14">
        <v>26</v>
      </c>
      <c r="B14" s="3" t="s">
        <v>45</v>
      </c>
      <c r="C14" s="1" t="s">
        <v>25</v>
      </c>
      <c r="D14" s="1" t="s">
        <v>16</v>
      </c>
      <c r="E14" s="1" t="s">
        <v>17</v>
      </c>
      <c r="F14" s="1" t="s">
        <v>11</v>
      </c>
      <c r="G14" s="1" t="s">
        <v>38</v>
      </c>
      <c r="H14" s="1" t="s">
        <v>26</v>
      </c>
      <c r="I14" s="1" t="s">
        <v>19</v>
      </c>
      <c r="J14" s="1">
        <v>463.17255028533771</v>
      </c>
      <c r="K14" s="3">
        <v>25.06958002405791</v>
      </c>
      <c r="L14" s="4">
        <v>0.16617445551725141</v>
      </c>
      <c r="M14" s="3">
        <v>2.750715816324262</v>
      </c>
      <c r="N14" s="4">
        <v>0.25128814980901171</v>
      </c>
    </row>
    <row r="15" spans="1:14" x14ac:dyDescent="0.25">
      <c r="A15">
        <v>28</v>
      </c>
      <c r="B15" s="3" t="s">
        <v>45</v>
      </c>
      <c r="C15" s="1" t="s">
        <v>40</v>
      </c>
      <c r="D15" s="1" t="s">
        <v>16</v>
      </c>
      <c r="E15" s="1" t="s">
        <v>29</v>
      </c>
      <c r="F15" s="1" t="s">
        <v>23</v>
      </c>
      <c r="G15" s="1" t="s">
        <v>14</v>
      </c>
      <c r="H15" s="1" t="s">
        <v>30</v>
      </c>
      <c r="I15" s="1" t="s">
        <v>13</v>
      </c>
      <c r="J15" s="1">
        <v>830.13369852249514</v>
      </c>
      <c r="K15" s="3">
        <v>34.093862468973867</v>
      </c>
      <c r="L15" s="4">
        <v>0.18491415701193711</v>
      </c>
      <c r="M15" s="3">
        <v>4.0998690570415128</v>
      </c>
      <c r="N15" s="4">
        <v>0.27568709704055427</v>
      </c>
    </row>
    <row r="16" spans="1:14" x14ac:dyDescent="0.25">
      <c r="A16">
        <v>30</v>
      </c>
      <c r="B16" s="3" t="s">
        <v>45</v>
      </c>
      <c r="C16" s="1" t="s">
        <v>8</v>
      </c>
      <c r="D16" s="1" t="s">
        <v>9</v>
      </c>
      <c r="E16" s="1" t="s">
        <v>29</v>
      </c>
      <c r="F16" s="1" t="s">
        <v>18</v>
      </c>
      <c r="G16" s="1" t="s">
        <v>20</v>
      </c>
      <c r="H16" s="1" t="s">
        <v>12</v>
      </c>
      <c r="I16" s="1" t="s">
        <v>13</v>
      </c>
      <c r="J16" s="1">
        <v>473.55217273725202</v>
      </c>
      <c r="K16" s="3">
        <v>25.403001481665331</v>
      </c>
      <c r="L16" s="4">
        <v>9.9897857119795777E-2</v>
      </c>
      <c r="M16" s="3">
        <v>2.8369039927712101</v>
      </c>
      <c r="N16" s="4">
        <v>0.25301998160958439</v>
      </c>
    </row>
    <row r="17" spans="1:14" x14ac:dyDescent="0.25">
      <c r="A17">
        <v>32</v>
      </c>
      <c r="B17" s="3" t="s">
        <v>45</v>
      </c>
      <c r="C17" s="1" t="s">
        <v>8</v>
      </c>
      <c r="D17" s="1" t="s">
        <v>9</v>
      </c>
      <c r="E17" s="1" t="s">
        <v>10</v>
      </c>
      <c r="F17" s="1" t="s">
        <v>11</v>
      </c>
      <c r="G17" s="1" t="s">
        <v>14</v>
      </c>
      <c r="H17" s="1" t="s">
        <v>12</v>
      </c>
      <c r="I17" s="1" t="s">
        <v>13</v>
      </c>
      <c r="J17" s="1">
        <v>375.22752388249648</v>
      </c>
      <c r="K17" s="3">
        <v>32.509503541037532</v>
      </c>
      <c r="L17" s="4">
        <v>0.1810031805337412</v>
      </c>
      <c r="M17" s="3">
        <v>4.0998690570415128</v>
      </c>
      <c r="N17" s="4">
        <v>0.29589157319362352</v>
      </c>
    </row>
    <row r="18" spans="1:14" x14ac:dyDescent="0.25">
      <c r="A18">
        <v>34</v>
      </c>
      <c r="B18" s="3" t="s">
        <v>45</v>
      </c>
      <c r="C18" s="1" t="s">
        <v>40</v>
      </c>
      <c r="D18" s="1" t="s">
        <v>9</v>
      </c>
      <c r="E18" s="1" t="s">
        <v>17</v>
      </c>
      <c r="F18" s="1" t="s">
        <v>18</v>
      </c>
      <c r="G18" s="1" t="s">
        <v>28</v>
      </c>
      <c r="H18" s="1" t="s">
        <v>26</v>
      </c>
      <c r="I18" s="1" t="s">
        <v>27</v>
      </c>
      <c r="J18" s="1">
        <v>830.13369852249514</v>
      </c>
      <c r="K18" s="3">
        <v>23.33189768406957</v>
      </c>
      <c r="L18" s="4">
        <v>0.28372444382937562</v>
      </c>
      <c r="M18" s="3">
        <v>6.763279513898901</v>
      </c>
      <c r="N18" s="4">
        <v>0.37607345777717149</v>
      </c>
    </row>
    <row r="19" spans="1:14" x14ac:dyDescent="0.25">
      <c r="A19">
        <v>36</v>
      </c>
      <c r="B19" s="3" t="s">
        <v>45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12</v>
      </c>
      <c r="I19" s="1" t="s">
        <v>19</v>
      </c>
      <c r="J19" s="1">
        <v>557.79180936942089</v>
      </c>
      <c r="K19" s="3">
        <v>29.54505596450246</v>
      </c>
      <c r="L19" s="4">
        <v>9.9897857119795777E-2</v>
      </c>
      <c r="M19" s="3">
        <v>4.4498966056967122</v>
      </c>
      <c r="N19" s="4">
        <v>0.28130963365436612</v>
      </c>
    </row>
    <row r="20" spans="1:14" x14ac:dyDescent="0.25">
      <c r="A20">
        <v>38</v>
      </c>
      <c r="B20" s="3" t="s">
        <v>45</v>
      </c>
      <c r="C20" s="1" t="s">
        <v>15</v>
      </c>
      <c r="D20" s="1" t="s">
        <v>16</v>
      </c>
      <c r="E20" s="1" t="s">
        <v>37</v>
      </c>
      <c r="F20" s="1" t="s">
        <v>23</v>
      </c>
      <c r="G20" s="1" t="s">
        <v>14</v>
      </c>
      <c r="H20" s="1" t="s">
        <v>30</v>
      </c>
      <c r="I20" s="1" t="s">
        <v>13</v>
      </c>
      <c r="J20" s="1">
        <v>734.54360210915809</v>
      </c>
      <c r="K20" s="3">
        <v>36.148044477110183</v>
      </c>
      <c r="L20" s="4">
        <v>0.27990155171090281</v>
      </c>
      <c r="M20" s="3">
        <v>6.0080930310356884</v>
      </c>
      <c r="N20" s="4">
        <v>0.35867859413871878</v>
      </c>
    </row>
    <row r="21" spans="1:14" x14ac:dyDescent="0.25">
      <c r="A21">
        <v>40</v>
      </c>
      <c r="B21" s="3" t="s">
        <v>45</v>
      </c>
      <c r="C21" s="1" t="s">
        <v>8</v>
      </c>
      <c r="D21" s="1" t="s">
        <v>22</v>
      </c>
      <c r="E21" s="1" t="s">
        <v>17</v>
      </c>
      <c r="F21" s="1" t="s">
        <v>11</v>
      </c>
      <c r="G21" s="1" t="s">
        <v>32</v>
      </c>
      <c r="H21" s="1" t="s">
        <v>26</v>
      </c>
      <c r="I21" s="1" t="s">
        <v>13</v>
      </c>
      <c r="J21" s="1">
        <v>708.1677590396705</v>
      </c>
      <c r="K21" s="3">
        <v>36.462644721053408</v>
      </c>
      <c r="L21" s="4">
        <v>0.25577787661114959</v>
      </c>
      <c r="M21" s="3">
        <v>6.9431419019087111</v>
      </c>
      <c r="N21" s="4">
        <v>0.34656380994048908</v>
      </c>
    </row>
    <row r="22" spans="1:14" x14ac:dyDescent="0.25">
      <c r="A22">
        <v>42</v>
      </c>
      <c r="B22" s="3" t="s">
        <v>45</v>
      </c>
      <c r="C22" s="1" t="s">
        <v>25</v>
      </c>
      <c r="D22" s="1" t="s">
        <v>16</v>
      </c>
      <c r="E22" s="1" t="s">
        <v>37</v>
      </c>
      <c r="F22" s="1" t="s">
        <v>35</v>
      </c>
      <c r="G22" s="1" t="s">
        <v>14</v>
      </c>
      <c r="H22" s="1" t="s">
        <v>26</v>
      </c>
      <c r="I22" s="1" t="s">
        <v>27</v>
      </c>
      <c r="J22" s="1">
        <v>890.46319359814106</v>
      </c>
      <c r="K22" s="3">
        <v>28.856357791851678</v>
      </c>
      <c r="L22" s="4">
        <v>0.35185508179490538</v>
      </c>
      <c r="M22" s="3">
        <v>11.157761616910481</v>
      </c>
      <c r="N22" s="4">
        <v>0.45044823315321392</v>
      </c>
    </row>
    <row r="23" spans="1:14" x14ac:dyDescent="0.25">
      <c r="A23">
        <v>44</v>
      </c>
      <c r="B23" s="3" t="s">
        <v>45</v>
      </c>
      <c r="C23" s="1" t="s">
        <v>8</v>
      </c>
      <c r="D23" s="1" t="s">
        <v>9</v>
      </c>
      <c r="E23" s="1" t="s">
        <v>10</v>
      </c>
      <c r="F23" s="1" t="s">
        <v>35</v>
      </c>
      <c r="G23" s="1" t="s">
        <v>32</v>
      </c>
      <c r="H23" s="1" t="s">
        <v>26</v>
      </c>
      <c r="I23" s="1" t="s">
        <v>31</v>
      </c>
      <c r="J23" s="1">
        <v>421.88563910474119</v>
      </c>
      <c r="K23" s="3">
        <v>24.258495432968651</v>
      </c>
      <c r="L23" s="4">
        <v>9.9897857119795777E-2</v>
      </c>
      <c r="M23" s="3">
        <v>2.6042442148223031</v>
      </c>
      <c r="N23" s="4">
        <v>0.23379175927136131</v>
      </c>
    </row>
    <row r="24" spans="1:14" x14ac:dyDescent="0.25">
      <c r="A24">
        <v>46</v>
      </c>
      <c r="B24" s="3" t="s">
        <v>45</v>
      </c>
      <c r="C24" s="1" t="s">
        <v>25</v>
      </c>
      <c r="D24" s="1" t="s">
        <v>9</v>
      </c>
      <c r="E24" s="1" t="s">
        <v>10</v>
      </c>
      <c r="F24" s="1" t="s">
        <v>23</v>
      </c>
      <c r="G24" s="1" t="s">
        <v>41</v>
      </c>
      <c r="H24" s="1" t="s">
        <v>26</v>
      </c>
      <c r="I24" s="1" t="s">
        <v>13</v>
      </c>
      <c r="J24" s="1">
        <v>596.96015524763516</v>
      </c>
      <c r="K24" s="3">
        <v>32.640044751077639</v>
      </c>
      <c r="L24" s="4">
        <v>0.18251118457953991</v>
      </c>
      <c r="M24" s="3">
        <v>4.0998690570415128</v>
      </c>
      <c r="N24" s="4">
        <v>0.29718856991396142</v>
      </c>
    </row>
    <row r="25" spans="1:14" x14ac:dyDescent="0.25">
      <c r="A25">
        <v>48</v>
      </c>
      <c r="B25" s="3" t="s">
        <v>45</v>
      </c>
      <c r="C25" s="1" t="s">
        <v>21</v>
      </c>
      <c r="D25" s="1" t="s">
        <v>22</v>
      </c>
      <c r="E25" s="1" t="s">
        <v>37</v>
      </c>
      <c r="F25" s="1" t="s">
        <v>11</v>
      </c>
      <c r="G25" s="1" t="s">
        <v>28</v>
      </c>
      <c r="H25" s="1" t="s">
        <v>12</v>
      </c>
      <c r="I25" s="1" t="s">
        <v>19</v>
      </c>
      <c r="J25" s="1">
        <v>696.81069761586082</v>
      </c>
      <c r="K25" s="3">
        <v>36.329472046171738</v>
      </c>
      <c r="L25" s="4">
        <v>0.25577787661114959</v>
      </c>
      <c r="M25" s="3">
        <v>6.9102846410024767</v>
      </c>
      <c r="N25" s="4">
        <v>0.34625154351267551</v>
      </c>
    </row>
    <row r="26" spans="1:14" x14ac:dyDescent="0.25">
      <c r="A26">
        <v>50</v>
      </c>
      <c r="B26" s="3" t="s">
        <v>45</v>
      </c>
      <c r="C26" s="1" t="s">
        <v>15</v>
      </c>
      <c r="D26" s="1" t="s">
        <v>22</v>
      </c>
      <c r="E26" s="1" t="s">
        <v>29</v>
      </c>
      <c r="F26" s="1" t="s">
        <v>18</v>
      </c>
      <c r="G26" s="1" t="s">
        <v>24</v>
      </c>
      <c r="H26" s="1" t="s">
        <v>30</v>
      </c>
      <c r="I26" s="1" t="s">
        <v>13</v>
      </c>
      <c r="J26" s="1">
        <v>484.28885475832197</v>
      </c>
      <c r="K26" s="3">
        <v>22.67066139610537</v>
      </c>
      <c r="L26" s="4">
        <v>9.9897857119795777E-2</v>
      </c>
      <c r="M26" s="3">
        <v>2.6334829746684498</v>
      </c>
      <c r="N26" s="4">
        <v>0.25403672103000408</v>
      </c>
    </row>
    <row r="27" spans="1:14" x14ac:dyDescent="0.25">
      <c r="A27">
        <v>52</v>
      </c>
      <c r="B27" s="3" t="s">
        <v>45</v>
      </c>
      <c r="C27" s="1" t="s">
        <v>8</v>
      </c>
      <c r="D27" s="1" t="s">
        <v>16</v>
      </c>
      <c r="E27" s="1" t="s">
        <v>17</v>
      </c>
      <c r="F27" s="1" t="s">
        <v>23</v>
      </c>
      <c r="G27" s="1" t="s">
        <v>24</v>
      </c>
      <c r="H27" s="1" t="s">
        <v>26</v>
      </c>
      <c r="I27" s="1" t="s">
        <v>31</v>
      </c>
      <c r="J27" s="1">
        <v>496.06702576891882</v>
      </c>
      <c r="K27" s="3">
        <v>26.6797836620513</v>
      </c>
      <c r="L27" s="4">
        <v>0.17917733206862821</v>
      </c>
      <c r="M27" s="3">
        <v>2.2397970835702168</v>
      </c>
      <c r="N27" s="4">
        <v>0.26525404584659262</v>
      </c>
    </row>
    <row r="28" spans="1:14" x14ac:dyDescent="0.25">
      <c r="A28">
        <v>54</v>
      </c>
      <c r="B28" s="3" t="s">
        <v>45</v>
      </c>
      <c r="C28" s="1" t="s">
        <v>8</v>
      </c>
      <c r="D28" s="1" t="s">
        <v>9</v>
      </c>
      <c r="E28" s="1" t="s">
        <v>17</v>
      </c>
      <c r="F28" s="1" t="s">
        <v>11</v>
      </c>
      <c r="G28" s="1" t="s">
        <v>34</v>
      </c>
      <c r="H28" s="1" t="s">
        <v>33</v>
      </c>
      <c r="I28" s="1" t="s">
        <v>13</v>
      </c>
      <c r="J28" s="1">
        <v>523.01127462814736</v>
      </c>
      <c r="K28" s="3">
        <v>21.014939592383691</v>
      </c>
      <c r="L28" s="4">
        <v>0.27131122626152698</v>
      </c>
      <c r="M28" s="3">
        <v>7.5553536437970177</v>
      </c>
      <c r="N28" s="4">
        <v>0.35683679596408208</v>
      </c>
    </row>
    <row r="29" spans="1:14" x14ac:dyDescent="0.25">
      <c r="A29">
        <v>56</v>
      </c>
      <c r="B29" s="3" t="s">
        <v>45</v>
      </c>
      <c r="C29" s="1" t="s">
        <v>21</v>
      </c>
      <c r="D29" s="1" t="s">
        <v>22</v>
      </c>
      <c r="E29" s="1" t="s">
        <v>17</v>
      </c>
      <c r="F29" s="1" t="s">
        <v>11</v>
      </c>
      <c r="G29" s="1" t="s">
        <v>36</v>
      </c>
      <c r="H29" s="1" t="s">
        <v>33</v>
      </c>
      <c r="I29" s="1" t="s">
        <v>27</v>
      </c>
      <c r="J29" s="1">
        <v>830.13369852249514</v>
      </c>
      <c r="K29" s="3">
        <v>42.819613509869228</v>
      </c>
      <c r="L29" s="4">
        <v>0.28372444382937562</v>
      </c>
      <c r="M29" s="3">
        <v>8.3742832701451295</v>
      </c>
      <c r="N29" s="4">
        <v>0.39777191437161191</v>
      </c>
    </row>
    <row r="30" spans="1:14" x14ac:dyDescent="0.25">
      <c r="A30">
        <v>58</v>
      </c>
      <c r="B30" s="3" t="s">
        <v>45</v>
      </c>
      <c r="C30" s="1" t="s">
        <v>21</v>
      </c>
      <c r="D30" s="1" t="s">
        <v>16</v>
      </c>
      <c r="E30" s="1" t="s">
        <v>17</v>
      </c>
      <c r="F30" s="1" t="s">
        <v>23</v>
      </c>
      <c r="G30" s="1" t="s">
        <v>41</v>
      </c>
      <c r="H30" s="1" t="s">
        <v>33</v>
      </c>
      <c r="I30" s="1" t="s">
        <v>19</v>
      </c>
      <c r="J30" s="1">
        <v>375.22752388249648</v>
      </c>
      <c r="K30" s="3">
        <v>28.856357791851678</v>
      </c>
      <c r="L30" s="4">
        <v>0.18491415701193711</v>
      </c>
      <c r="M30" s="3">
        <v>4.0998690570415128</v>
      </c>
      <c r="N30" s="4">
        <v>0.27643788341618669</v>
      </c>
    </row>
    <row r="31" spans="1:14" x14ac:dyDescent="0.25">
      <c r="A31">
        <v>60</v>
      </c>
      <c r="B31" s="3" t="s">
        <v>45</v>
      </c>
      <c r="C31" s="1" t="s">
        <v>40</v>
      </c>
      <c r="D31" s="1" t="s">
        <v>9</v>
      </c>
      <c r="E31" s="1" t="s">
        <v>10</v>
      </c>
      <c r="F31" s="1" t="s">
        <v>18</v>
      </c>
      <c r="G31" s="1" t="s">
        <v>36</v>
      </c>
      <c r="H31" s="1" t="s">
        <v>26</v>
      </c>
      <c r="I31" s="1" t="s">
        <v>31</v>
      </c>
      <c r="J31" s="1">
        <v>504.65458741369969</v>
      </c>
      <c r="K31" s="3">
        <v>36.13905882520546</v>
      </c>
      <c r="L31" s="4">
        <v>0.2498381806947613</v>
      </c>
      <c r="M31" s="3">
        <v>6.4232297561777791</v>
      </c>
      <c r="N31" s="4">
        <v>0.34042130162395873</v>
      </c>
    </row>
    <row r="32" spans="1:14" x14ac:dyDescent="0.25">
      <c r="A32">
        <v>62</v>
      </c>
      <c r="B32" s="3" t="s">
        <v>45</v>
      </c>
      <c r="C32" s="1" t="s">
        <v>40</v>
      </c>
      <c r="D32" s="1" t="s">
        <v>16</v>
      </c>
      <c r="E32" s="1" t="s">
        <v>37</v>
      </c>
      <c r="F32" s="1" t="s">
        <v>18</v>
      </c>
      <c r="G32" s="1" t="s">
        <v>36</v>
      </c>
      <c r="H32" s="1" t="s">
        <v>33</v>
      </c>
      <c r="I32" s="1" t="s">
        <v>31</v>
      </c>
      <c r="J32" s="1">
        <v>619.41733832886609</v>
      </c>
      <c r="K32" s="3">
        <v>34.543963455210843</v>
      </c>
      <c r="L32" s="4">
        <v>0.22905363271008869</v>
      </c>
      <c r="M32" s="3">
        <v>5.622500309087072</v>
      </c>
      <c r="N32" s="4">
        <v>0.32266433225341751</v>
      </c>
    </row>
    <row r="33" spans="1:14" x14ac:dyDescent="0.25">
      <c r="A33">
        <v>64</v>
      </c>
      <c r="B33" s="3" t="s">
        <v>45</v>
      </c>
      <c r="C33" s="1" t="s">
        <v>8</v>
      </c>
      <c r="D33" s="1" t="s">
        <v>22</v>
      </c>
      <c r="E33" s="1" t="s">
        <v>37</v>
      </c>
      <c r="F33" s="1" t="s">
        <v>18</v>
      </c>
      <c r="G33" s="1" t="s">
        <v>28</v>
      </c>
      <c r="H33" s="1" t="s">
        <v>12</v>
      </c>
      <c r="I33" s="1" t="s">
        <v>31</v>
      </c>
      <c r="J33" s="1">
        <v>521.92242249612491</v>
      </c>
      <c r="K33" s="3">
        <v>21.014939592383691</v>
      </c>
      <c r="L33" s="4">
        <v>0.22561918398743461</v>
      </c>
      <c r="M33" s="3">
        <v>4.7441648170384667</v>
      </c>
      <c r="N33" s="4">
        <v>0.31044692368482418</v>
      </c>
    </row>
    <row r="34" spans="1:14" x14ac:dyDescent="0.25">
      <c r="A34">
        <v>66</v>
      </c>
      <c r="B34" s="3" t="s">
        <v>45</v>
      </c>
      <c r="C34" s="1" t="s">
        <v>8</v>
      </c>
      <c r="D34" s="1" t="s">
        <v>9</v>
      </c>
      <c r="E34" s="1" t="s">
        <v>10</v>
      </c>
      <c r="F34" s="1" t="s">
        <v>18</v>
      </c>
      <c r="G34" s="1" t="s">
        <v>20</v>
      </c>
      <c r="H34" s="1" t="s">
        <v>26</v>
      </c>
      <c r="I34" s="1" t="s">
        <v>13</v>
      </c>
      <c r="J34" s="1">
        <v>619.41733832886609</v>
      </c>
      <c r="K34" s="3">
        <v>37.510906147376723</v>
      </c>
      <c r="L34" s="4">
        <v>0.27990155171090281</v>
      </c>
      <c r="M34" s="3">
        <v>6.4350845115919242</v>
      </c>
      <c r="N34" s="4">
        <v>0.37123395995440062</v>
      </c>
    </row>
    <row r="35" spans="1:14" x14ac:dyDescent="0.25">
      <c r="A35">
        <v>68</v>
      </c>
      <c r="B35" s="3" t="s">
        <v>45</v>
      </c>
      <c r="C35" s="1" t="s">
        <v>40</v>
      </c>
      <c r="D35" s="1" t="s">
        <v>22</v>
      </c>
      <c r="E35" s="1" t="s">
        <v>29</v>
      </c>
      <c r="F35" s="1" t="s">
        <v>23</v>
      </c>
      <c r="G35" s="1" t="s">
        <v>32</v>
      </c>
      <c r="H35" s="1" t="s">
        <v>33</v>
      </c>
      <c r="I35" s="1" t="s">
        <v>19</v>
      </c>
      <c r="J35" s="1">
        <v>648.04278931605404</v>
      </c>
      <c r="K35" s="3">
        <v>35.349709305309297</v>
      </c>
      <c r="L35" s="4">
        <v>0.23270681750057659</v>
      </c>
      <c r="M35" s="3">
        <v>5.6646280239591844</v>
      </c>
      <c r="N35" s="4">
        <v>0.32581869835967092</v>
      </c>
    </row>
    <row r="36" spans="1:14" x14ac:dyDescent="0.25">
      <c r="A36">
        <v>70</v>
      </c>
      <c r="B36" s="3" t="s">
        <v>45</v>
      </c>
      <c r="C36" s="1" t="s">
        <v>8</v>
      </c>
      <c r="D36" s="1" t="s">
        <v>16</v>
      </c>
      <c r="E36" s="1" t="s">
        <v>29</v>
      </c>
      <c r="F36" s="1" t="s">
        <v>11</v>
      </c>
      <c r="G36" s="1" t="s">
        <v>32</v>
      </c>
      <c r="H36" s="1" t="s">
        <v>30</v>
      </c>
      <c r="I36" s="1" t="s">
        <v>31</v>
      </c>
      <c r="J36" s="1">
        <v>362.0806959925111</v>
      </c>
      <c r="K36" s="3">
        <v>21.830429874465541</v>
      </c>
      <c r="L36" s="4">
        <v>9.9897857119795777E-2</v>
      </c>
      <c r="M36" s="3">
        <v>2.6334829746684498</v>
      </c>
      <c r="N36" s="4">
        <v>0.20414723507989471</v>
      </c>
    </row>
    <row r="37" spans="1:14" x14ac:dyDescent="0.25">
      <c r="A37">
        <v>72</v>
      </c>
      <c r="B37" s="3" t="s">
        <v>45</v>
      </c>
      <c r="C37" s="1" t="s">
        <v>40</v>
      </c>
      <c r="D37" s="1" t="s">
        <v>16</v>
      </c>
      <c r="E37" s="1" t="s">
        <v>10</v>
      </c>
      <c r="F37" s="1" t="s">
        <v>23</v>
      </c>
      <c r="G37" s="1" t="s">
        <v>28</v>
      </c>
      <c r="H37" s="1" t="s">
        <v>33</v>
      </c>
      <c r="I37" s="1" t="s">
        <v>31</v>
      </c>
      <c r="J37" s="1">
        <v>551.57500310812304</v>
      </c>
      <c r="K37" s="3">
        <v>29.002436397815529</v>
      </c>
      <c r="L37" s="4">
        <v>0.18491415701193711</v>
      </c>
      <c r="M37" s="3">
        <v>4.4498966056967122</v>
      </c>
      <c r="N37" s="4">
        <v>0.28054417581680913</v>
      </c>
    </row>
    <row r="38" spans="1:14" x14ac:dyDescent="0.25">
      <c r="A38">
        <v>74</v>
      </c>
      <c r="B38" s="3" t="s">
        <v>45</v>
      </c>
      <c r="C38" s="1" t="s">
        <v>21</v>
      </c>
      <c r="D38" s="1" t="s">
        <v>22</v>
      </c>
      <c r="E38" s="1" t="s">
        <v>37</v>
      </c>
      <c r="F38" s="1" t="s">
        <v>18</v>
      </c>
      <c r="G38" s="1" t="s">
        <v>36</v>
      </c>
      <c r="H38" s="1" t="s">
        <v>12</v>
      </c>
      <c r="I38" s="1" t="s">
        <v>19</v>
      </c>
      <c r="J38" s="1">
        <v>551.57500310812304</v>
      </c>
      <c r="K38" s="3">
        <v>39.870098609562831</v>
      </c>
      <c r="L38" s="4">
        <v>9.9897857119795777E-2</v>
      </c>
      <c r="M38" s="3">
        <v>2.6334829746684498</v>
      </c>
      <c r="N38" s="4">
        <v>0.20187766616909419</v>
      </c>
    </row>
    <row r="39" spans="1:14" x14ac:dyDescent="0.25">
      <c r="A39">
        <v>76</v>
      </c>
      <c r="B39" s="3" t="s">
        <v>45</v>
      </c>
      <c r="C39" s="1" t="s">
        <v>25</v>
      </c>
      <c r="D39" s="1" t="s">
        <v>16</v>
      </c>
      <c r="E39" s="1" t="s">
        <v>10</v>
      </c>
      <c r="F39" s="1" t="s">
        <v>23</v>
      </c>
      <c r="G39" s="1" t="s">
        <v>28</v>
      </c>
      <c r="H39" s="1" t="s">
        <v>30</v>
      </c>
      <c r="I39" s="1" t="s">
        <v>19</v>
      </c>
      <c r="J39" s="1">
        <v>403.40831801853841</v>
      </c>
      <c r="K39" s="3">
        <v>22.71292327512996</v>
      </c>
      <c r="L39" s="4">
        <v>7.3005509594202878E-2</v>
      </c>
      <c r="M39" s="3">
        <v>2.2397970835702168</v>
      </c>
      <c r="N39" s="4">
        <v>0.22107462398711211</v>
      </c>
    </row>
    <row r="40" spans="1:14" x14ac:dyDescent="0.25">
      <c r="A40">
        <v>78</v>
      </c>
      <c r="B40" s="3" t="s">
        <v>45</v>
      </c>
      <c r="C40" s="1" t="s">
        <v>40</v>
      </c>
      <c r="D40" s="1" t="s">
        <v>9</v>
      </c>
      <c r="E40" s="1" t="s">
        <v>29</v>
      </c>
      <c r="F40" s="1" t="s">
        <v>11</v>
      </c>
      <c r="G40" s="1" t="s">
        <v>32</v>
      </c>
      <c r="H40" s="1" t="s">
        <v>12</v>
      </c>
      <c r="I40" s="1" t="s">
        <v>13</v>
      </c>
      <c r="J40" s="1">
        <v>726.81693567394757</v>
      </c>
      <c r="K40" s="3">
        <v>42.328424856528947</v>
      </c>
      <c r="L40" s="4">
        <v>9.9897857119795777E-2</v>
      </c>
      <c r="M40" s="3">
        <v>2.750715816324262</v>
      </c>
      <c r="N40" s="4">
        <v>0.25414415926475448</v>
      </c>
    </row>
    <row r="41" spans="1:14" x14ac:dyDescent="0.25">
      <c r="A41">
        <v>80</v>
      </c>
      <c r="B41" s="3" t="s">
        <v>45</v>
      </c>
      <c r="C41" s="1" t="s">
        <v>40</v>
      </c>
      <c r="D41" s="1" t="s">
        <v>9</v>
      </c>
      <c r="E41" s="1" t="s">
        <v>29</v>
      </c>
      <c r="F41" s="1" t="s">
        <v>11</v>
      </c>
      <c r="G41" s="1" t="s">
        <v>34</v>
      </c>
      <c r="H41" s="1" t="s">
        <v>33</v>
      </c>
      <c r="I41" s="1" t="s">
        <v>31</v>
      </c>
      <c r="J41" s="1">
        <v>664.15565877204904</v>
      </c>
      <c r="K41" s="3">
        <v>35.712204079351267</v>
      </c>
      <c r="L41" s="4">
        <v>0.24660854919634351</v>
      </c>
      <c r="M41" s="3">
        <v>6.0080930310356884</v>
      </c>
      <c r="N41" s="4">
        <v>0.33781935185684459</v>
      </c>
    </row>
    <row r="42" spans="1:14" x14ac:dyDescent="0.25">
      <c r="A42">
        <v>82</v>
      </c>
      <c r="B42" s="3" t="s">
        <v>45</v>
      </c>
      <c r="C42" s="1" t="s">
        <v>21</v>
      </c>
      <c r="D42" s="1" t="s">
        <v>22</v>
      </c>
      <c r="E42" s="1" t="s">
        <v>29</v>
      </c>
      <c r="F42" s="1" t="s">
        <v>23</v>
      </c>
      <c r="G42" s="1" t="s">
        <v>39</v>
      </c>
      <c r="H42" s="1" t="s">
        <v>30</v>
      </c>
      <c r="I42" s="1" t="s">
        <v>19</v>
      </c>
      <c r="J42" s="1">
        <v>569.036813905543</v>
      </c>
      <c r="K42" s="3">
        <v>42.863547025446572</v>
      </c>
      <c r="L42" s="4">
        <v>9.9897857119795777E-2</v>
      </c>
      <c r="M42" s="3">
        <v>4.5019279208872431</v>
      </c>
      <c r="N42" s="4">
        <v>0.28620642158906862</v>
      </c>
    </row>
    <row r="43" spans="1:14" x14ac:dyDescent="0.25">
      <c r="A43">
        <v>84</v>
      </c>
      <c r="B43" s="3" t="s">
        <v>45</v>
      </c>
      <c r="C43" s="1" t="s">
        <v>8</v>
      </c>
      <c r="D43" s="1" t="s">
        <v>22</v>
      </c>
      <c r="E43" s="1" t="s">
        <v>17</v>
      </c>
      <c r="F43" s="1" t="s">
        <v>35</v>
      </c>
      <c r="G43" s="1" t="s">
        <v>36</v>
      </c>
      <c r="H43" s="1" t="s">
        <v>30</v>
      </c>
      <c r="I43" s="1" t="s">
        <v>27</v>
      </c>
      <c r="J43" s="1">
        <v>773.23782906934002</v>
      </c>
      <c r="K43" s="3">
        <v>41.422284810995777</v>
      </c>
      <c r="L43" s="4">
        <v>0.27990155171090281</v>
      </c>
      <c r="M43" s="3">
        <v>6.4232297561777791</v>
      </c>
      <c r="N43" s="4">
        <v>0.36288404833129961</v>
      </c>
    </row>
    <row r="44" spans="1:14" x14ac:dyDescent="0.25">
      <c r="A44">
        <v>86</v>
      </c>
      <c r="B44" s="3" t="s">
        <v>45</v>
      </c>
      <c r="C44" s="1" t="s">
        <v>25</v>
      </c>
      <c r="D44" s="1" t="s">
        <v>9</v>
      </c>
      <c r="E44" s="1" t="s">
        <v>17</v>
      </c>
      <c r="F44" s="1" t="s">
        <v>35</v>
      </c>
      <c r="G44" s="1" t="s">
        <v>34</v>
      </c>
      <c r="H44" s="1" t="s">
        <v>33</v>
      </c>
      <c r="I44" s="1" t="s">
        <v>19</v>
      </c>
      <c r="J44" s="1">
        <v>603.45495957616026</v>
      </c>
      <c r="K44" s="3">
        <v>34.233542912614041</v>
      </c>
      <c r="L44" s="4">
        <v>0.18424365288556879</v>
      </c>
      <c r="M44" s="3">
        <v>4.4498966056967122</v>
      </c>
      <c r="N44" s="4">
        <v>0.30025139260575129</v>
      </c>
    </row>
    <row r="45" spans="1:14" x14ac:dyDescent="0.25">
      <c r="A45">
        <v>88</v>
      </c>
      <c r="B45" s="3" t="s">
        <v>45</v>
      </c>
      <c r="C45" s="1" t="s">
        <v>25</v>
      </c>
      <c r="D45" s="1" t="s">
        <v>16</v>
      </c>
      <c r="E45" s="1" t="s">
        <v>29</v>
      </c>
      <c r="F45" s="1" t="s">
        <v>35</v>
      </c>
      <c r="G45" s="1" t="s">
        <v>39</v>
      </c>
      <c r="H45" s="1" t="s">
        <v>33</v>
      </c>
      <c r="I45" s="1" t="s">
        <v>19</v>
      </c>
      <c r="J45" s="1">
        <v>307.91532286630729</v>
      </c>
      <c r="K45" s="3">
        <v>34.093862468973867</v>
      </c>
      <c r="L45" s="4">
        <v>0.25577787661114959</v>
      </c>
      <c r="M45" s="3">
        <v>6.763279513898901</v>
      </c>
      <c r="N45" s="4">
        <v>0.34442553880212762</v>
      </c>
    </row>
    <row r="46" spans="1:14" x14ac:dyDescent="0.25">
      <c r="A46">
        <v>90</v>
      </c>
      <c r="B46" s="3" t="s">
        <v>45</v>
      </c>
      <c r="C46" s="1" t="s">
        <v>15</v>
      </c>
      <c r="D46" s="1" t="s">
        <v>22</v>
      </c>
      <c r="E46" s="1" t="s">
        <v>17</v>
      </c>
      <c r="F46" s="1" t="s">
        <v>23</v>
      </c>
      <c r="G46" s="1" t="s">
        <v>38</v>
      </c>
      <c r="H46" s="1" t="s">
        <v>33</v>
      </c>
      <c r="I46" s="1" t="s">
        <v>19</v>
      </c>
      <c r="J46" s="1">
        <v>519.22626043512992</v>
      </c>
      <c r="K46" s="3">
        <v>27.242540128268349</v>
      </c>
      <c r="L46" s="4">
        <v>0.18424365288556879</v>
      </c>
      <c r="M46" s="3">
        <v>3.028547907328913</v>
      </c>
      <c r="N46" s="4">
        <v>0.27060515784716049</v>
      </c>
    </row>
    <row r="47" spans="1:14" x14ac:dyDescent="0.25">
      <c r="A47">
        <v>92</v>
      </c>
      <c r="B47" s="3" t="s">
        <v>45</v>
      </c>
      <c r="C47" s="1" t="s">
        <v>8</v>
      </c>
      <c r="D47" s="1" t="s">
        <v>22</v>
      </c>
      <c r="E47" s="1" t="s">
        <v>10</v>
      </c>
      <c r="F47" s="1" t="s">
        <v>35</v>
      </c>
      <c r="G47" s="1" t="s">
        <v>41</v>
      </c>
      <c r="H47" s="1" t="s">
        <v>30</v>
      </c>
      <c r="I47" s="1" t="s">
        <v>19</v>
      </c>
      <c r="J47" s="1">
        <v>389.38710677341862</v>
      </c>
      <c r="K47" s="3">
        <v>32.124851019620138</v>
      </c>
      <c r="L47" s="4">
        <v>9.9897857119795777E-2</v>
      </c>
      <c r="M47" s="3">
        <v>2.2344005380713279</v>
      </c>
      <c r="N47" s="4">
        <v>0.21906150646039199</v>
      </c>
    </row>
    <row r="48" spans="1:14" x14ac:dyDescent="0.25">
      <c r="A48">
        <v>94</v>
      </c>
      <c r="B48" s="3" t="s">
        <v>45</v>
      </c>
      <c r="C48" s="1" t="s">
        <v>25</v>
      </c>
      <c r="D48" s="1" t="s">
        <v>22</v>
      </c>
      <c r="E48" s="1" t="s">
        <v>10</v>
      </c>
      <c r="F48" s="1" t="s">
        <v>23</v>
      </c>
      <c r="G48" s="1" t="s">
        <v>14</v>
      </c>
      <c r="H48" s="1" t="s">
        <v>33</v>
      </c>
      <c r="I48" s="1" t="s">
        <v>31</v>
      </c>
      <c r="J48" s="1">
        <v>521.92242249612491</v>
      </c>
      <c r="K48" s="3">
        <v>28.61134162948003</v>
      </c>
      <c r="L48" s="4">
        <v>9.9897857119795777E-2</v>
      </c>
      <c r="M48" s="3">
        <v>2.6042442148223031</v>
      </c>
      <c r="N48" s="4">
        <v>0.23429928415438989</v>
      </c>
    </row>
    <row r="49" spans="1:14" x14ac:dyDescent="0.25">
      <c r="A49">
        <v>96</v>
      </c>
      <c r="B49" s="3" t="s">
        <v>45</v>
      </c>
      <c r="C49" s="1" t="s">
        <v>25</v>
      </c>
      <c r="D49" s="1" t="s">
        <v>9</v>
      </c>
      <c r="E49" s="1" t="s">
        <v>37</v>
      </c>
      <c r="F49" s="1" t="s">
        <v>11</v>
      </c>
      <c r="G49" s="1" t="s">
        <v>39</v>
      </c>
      <c r="H49" s="1" t="s">
        <v>26</v>
      </c>
      <c r="I49" s="1" t="s">
        <v>27</v>
      </c>
      <c r="J49" s="1">
        <v>167.05152762488819</v>
      </c>
      <c r="K49" s="3">
        <v>15.177312318503819</v>
      </c>
      <c r="L49" s="4">
        <v>7.0450973374120401E-2</v>
      </c>
      <c r="M49" s="3">
        <v>1</v>
      </c>
      <c r="N49" s="4">
        <v>0.1227218508002173</v>
      </c>
    </row>
    <row r="50" spans="1:14" x14ac:dyDescent="0.25">
      <c r="A50">
        <v>98</v>
      </c>
      <c r="B50" s="3" t="s">
        <v>45</v>
      </c>
      <c r="C50" s="1" t="s">
        <v>25</v>
      </c>
      <c r="D50" s="1" t="s">
        <v>9</v>
      </c>
      <c r="E50" s="1" t="s">
        <v>29</v>
      </c>
      <c r="F50" s="1" t="s">
        <v>23</v>
      </c>
      <c r="G50" s="1" t="s">
        <v>28</v>
      </c>
      <c r="H50" s="1" t="s">
        <v>33</v>
      </c>
      <c r="I50" s="1" t="s">
        <v>27</v>
      </c>
      <c r="J50" s="1">
        <v>447.27848635895299</v>
      </c>
      <c r="K50" s="3">
        <v>24.86722617036456</v>
      </c>
      <c r="L50" s="4">
        <v>0.16617445551725141</v>
      </c>
      <c r="M50" s="3">
        <v>2.6334829746684498</v>
      </c>
      <c r="N50" s="4">
        <v>0.24580046742972819</v>
      </c>
    </row>
    <row r="51" spans="1:14" x14ac:dyDescent="0.25">
      <c r="A51">
        <v>100</v>
      </c>
      <c r="B51" s="3" t="s">
        <v>45</v>
      </c>
      <c r="C51" s="1" t="s">
        <v>21</v>
      </c>
      <c r="D51" s="1" t="s">
        <v>16</v>
      </c>
      <c r="E51" s="1" t="s">
        <v>29</v>
      </c>
      <c r="F51" s="1" t="s">
        <v>35</v>
      </c>
      <c r="G51" s="1" t="s">
        <v>39</v>
      </c>
      <c r="H51" s="1" t="s">
        <v>33</v>
      </c>
      <c r="I51" s="1" t="s">
        <v>13</v>
      </c>
      <c r="J51" s="1">
        <v>419.38042762271778</v>
      </c>
      <c r="K51" s="3">
        <v>36.13905882520546</v>
      </c>
      <c r="L51" s="4">
        <v>9.9897857119795777E-2</v>
      </c>
      <c r="M51" s="3">
        <v>2.6042442148223031</v>
      </c>
      <c r="N51" s="4">
        <v>0.23183287709095979</v>
      </c>
    </row>
    <row r="52" spans="1:14" x14ac:dyDescent="0.25">
      <c r="A52">
        <v>1</v>
      </c>
      <c r="B52" s="3" t="s">
        <v>44</v>
      </c>
      <c r="C52" s="1" t="s">
        <v>25</v>
      </c>
      <c r="D52" s="1" t="s">
        <v>16</v>
      </c>
      <c r="E52" s="1" t="s">
        <v>29</v>
      </c>
      <c r="F52" s="1" t="s">
        <v>11</v>
      </c>
      <c r="G52" s="1" t="s">
        <v>28</v>
      </c>
      <c r="H52" s="1" t="s">
        <v>12</v>
      </c>
      <c r="I52" s="1" t="s">
        <v>31</v>
      </c>
      <c r="J52" s="1">
        <v>619.41733832886609</v>
      </c>
      <c r="K52" s="3">
        <v>36.148044477110183</v>
      </c>
      <c r="L52" s="4">
        <v>0.16617445551725141</v>
      </c>
      <c r="M52" s="3">
        <v>4.5019279208872431</v>
      </c>
      <c r="N52" s="4">
        <v>0.28936177079024888</v>
      </c>
    </row>
    <row r="53" spans="1:14" x14ac:dyDescent="0.25">
      <c r="A53">
        <v>3</v>
      </c>
      <c r="B53" s="3" t="s">
        <v>44</v>
      </c>
      <c r="C53" s="1" t="s">
        <v>15</v>
      </c>
      <c r="D53" s="1" t="s">
        <v>22</v>
      </c>
      <c r="E53" s="1" t="s">
        <v>10</v>
      </c>
      <c r="F53" s="1" t="s">
        <v>11</v>
      </c>
      <c r="G53" s="1" t="s">
        <v>28</v>
      </c>
      <c r="H53" s="1" t="s">
        <v>33</v>
      </c>
      <c r="I53" s="1" t="s">
        <v>27</v>
      </c>
      <c r="J53" s="1">
        <v>449.13093283360729</v>
      </c>
      <c r="K53" s="3">
        <v>25.659829377999021</v>
      </c>
      <c r="L53" s="4">
        <v>9.9897857119795777E-2</v>
      </c>
      <c r="M53" s="3">
        <v>2.1554925808046521</v>
      </c>
      <c r="N53" s="4">
        <v>0.25439927348418562</v>
      </c>
    </row>
    <row r="54" spans="1:14" x14ac:dyDescent="0.25">
      <c r="A54">
        <v>5</v>
      </c>
      <c r="B54" s="3" t="s">
        <v>44</v>
      </c>
      <c r="C54" s="1" t="s">
        <v>40</v>
      </c>
      <c r="D54" s="1" t="s">
        <v>22</v>
      </c>
      <c r="E54" s="1" t="s">
        <v>37</v>
      </c>
      <c r="F54" s="1" t="s">
        <v>18</v>
      </c>
      <c r="G54" s="1" t="s">
        <v>34</v>
      </c>
      <c r="H54" s="1" t="s">
        <v>12</v>
      </c>
      <c r="I54" s="1" t="s">
        <v>27</v>
      </c>
      <c r="J54" s="1">
        <v>364.7761269469521</v>
      </c>
      <c r="K54" s="3">
        <v>22.17917729923893</v>
      </c>
      <c r="L54" s="4">
        <v>7.3005509594202878E-2</v>
      </c>
      <c r="M54" s="3">
        <v>2.750715816324262</v>
      </c>
      <c r="N54" s="4">
        <v>0.21021883294682961</v>
      </c>
    </row>
    <row r="55" spans="1:14" x14ac:dyDescent="0.25">
      <c r="A55">
        <v>7</v>
      </c>
      <c r="B55" s="3" t="s">
        <v>44</v>
      </c>
      <c r="C55" s="1" t="s">
        <v>25</v>
      </c>
      <c r="D55" s="1" t="s">
        <v>16</v>
      </c>
      <c r="E55" s="1" t="s">
        <v>29</v>
      </c>
      <c r="F55" s="1" t="s">
        <v>23</v>
      </c>
      <c r="G55" s="1" t="s">
        <v>20</v>
      </c>
      <c r="H55" s="1" t="s">
        <v>12</v>
      </c>
      <c r="I55" s="1" t="s">
        <v>13</v>
      </c>
      <c r="J55" s="1">
        <v>449.13093283360729</v>
      </c>
      <c r="K55" s="3">
        <v>34.168209673514582</v>
      </c>
      <c r="L55" s="4">
        <v>0.22561918398743461</v>
      </c>
      <c r="M55" s="3">
        <v>5.4069272717344461</v>
      </c>
      <c r="N55" s="4">
        <v>0.31072854455321491</v>
      </c>
    </row>
    <row r="56" spans="1:14" x14ac:dyDescent="0.25">
      <c r="A56">
        <v>9</v>
      </c>
      <c r="B56" s="3" t="s">
        <v>44</v>
      </c>
      <c r="C56" s="1" t="s">
        <v>21</v>
      </c>
      <c r="D56" s="1" t="s">
        <v>22</v>
      </c>
      <c r="E56" s="1" t="s">
        <v>17</v>
      </c>
      <c r="F56" s="1" t="s">
        <v>23</v>
      </c>
      <c r="G56" s="1" t="s">
        <v>24</v>
      </c>
      <c r="H56" s="1" t="s">
        <v>12</v>
      </c>
      <c r="I56" s="1" t="s">
        <v>13</v>
      </c>
      <c r="J56" s="1">
        <v>545.77266574920179</v>
      </c>
      <c r="K56" s="3">
        <v>28.966599379394442</v>
      </c>
      <c r="L56" s="4">
        <v>0.18491415701193711</v>
      </c>
      <c r="M56" s="3">
        <v>4.0998690570415128</v>
      </c>
      <c r="N56" s="4">
        <v>0.27918051659162052</v>
      </c>
    </row>
    <row r="57" spans="1:14" x14ac:dyDescent="0.25">
      <c r="A57">
        <v>11</v>
      </c>
      <c r="B57" s="3" t="s">
        <v>44</v>
      </c>
      <c r="C57" s="1" t="s">
        <v>25</v>
      </c>
      <c r="D57" s="1" t="s">
        <v>22</v>
      </c>
      <c r="E57" s="1" t="s">
        <v>29</v>
      </c>
      <c r="F57" s="1" t="s">
        <v>18</v>
      </c>
      <c r="G57" s="1" t="s">
        <v>36</v>
      </c>
      <c r="H57" s="1" t="s">
        <v>26</v>
      </c>
      <c r="I57" s="1" t="s">
        <v>27</v>
      </c>
      <c r="J57" s="1">
        <v>600.05114910613997</v>
      </c>
      <c r="K57" s="3">
        <v>37.920198615682011</v>
      </c>
      <c r="L57" s="4">
        <v>0.18251118457953991</v>
      </c>
      <c r="M57" s="3">
        <v>4.4498966056967122</v>
      </c>
      <c r="N57" s="4">
        <v>0.29895452589316301</v>
      </c>
    </row>
    <row r="58" spans="1:14" x14ac:dyDescent="0.25">
      <c r="A58">
        <v>13</v>
      </c>
      <c r="B58" s="3" t="s">
        <v>44</v>
      </c>
      <c r="C58" s="1" t="s">
        <v>21</v>
      </c>
      <c r="D58" s="1" t="s">
        <v>9</v>
      </c>
      <c r="E58" s="1" t="s">
        <v>37</v>
      </c>
      <c r="F58" s="1" t="s">
        <v>23</v>
      </c>
      <c r="G58" s="1" t="s">
        <v>20</v>
      </c>
      <c r="H58" s="1" t="s">
        <v>26</v>
      </c>
      <c r="I58" s="1" t="s">
        <v>19</v>
      </c>
      <c r="J58" s="1">
        <v>491.90097738880718</v>
      </c>
      <c r="K58" s="3">
        <v>34.509555299643331</v>
      </c>
      <c r="L58" s="4">
        <v>0.17917733206862821</v>
      </c>
      <c r="M58" s="3">
        <v>2.2344005380713279</v>
      </c>
      <c r="N58" s="4">
        <v>0.25465478640020989</v>
      </c>
    </row>
    <row r="59" spans="1:14" x14ac:dyDescent="0.25">
      <c r="A59">
        <v>15</v>
      </c>
      <c r="B59" s="3" t="s">
        <v>44</v>
      </c>
      <c r="C59" s="1" t="s">
        <v>8</v>
      </c>
      <c r="D59" s="1" t="s">
        <v>22</v>
      </c>
      <c r="E59" s="1" t="s">
        <v>29</v>
      </c>
      <c r="F59" s="1" t="s">
        <v>35</v>
      </c>
      <c r="G59" s="1" t="s">
        <v>36</v>
      </c>
      <c r="H59" s="1" t="s">
        <v>12</v>
      </c>
      <c r="I59" s="1" t="s">
        <v>13</v>
      </c>
      <c r="J59" s="1">
        <v>734.54360210915809</v>
      </c>
      <c r="K59" s="3">
        <v>38.91018632957595</v>
      </c>
      <c r="L59" s="4">
        <v>0.27990155171090281</v>
      </c>
      <c r="M59" s="3">
        <v>7.7337485348890489</v>
      </c>
      <c r="N59" s="4">
        <v>0.35719492828615568</v>
      </c>
    </row>
    <row r="60" spans="1:14" x14ac:dyDescent="0.25">
      <c r="A60">
        <v>17</v>
      </c>
      <c r="B60" s="3" t="s">
        <v>44</v>
      </c>
      <c r="C60" s="1" t="s">
        <v>25</v>
      </c>
      <c r="D60" s="1" t="s">
        <v>22</v>
      </c>
      <c r="E60" s="1" t="s">
        <v>29</v>
      </c>
      <c r="F60" s="1" t="s">
        <v>23</v>
      </c>
      <c r="G60" s="1" t="s">
        <v>20</v>
      </c>
      <c r="H60" s="1" t="s">
        <v>26</v>
      </c>
      <c r="I60" s="1" t="s">
        <v>31</v>
      </c>
      <c r="J60" s="1">
        <v>614.24978057956264</v>
      </c>
      <c r="K60" s="3">
        <v>34.481965046749572</v>
      </c>
      <c r="L60" s="4">
        <v>0.22905363271008869</v>
      </c>
      <c r="M60" s="3">
        <v>5.4279598214684439</v>
      </c>
      <c r="N60" s="4">
        <v>0.31830109051492927</v>
      </c>
    </row>
    <row r="61" spans="1:14" x14ac:dyDescent="0.25">
      <c r="A61">
        <v>19</v>
      </c>
      <c r="B61" s="3" t="s">
        <v>44</v>
      </c>
      <c r="C61" s="1" t="s">
        <v>40</v>
      </c>
      <c r="D61" s="1" t="s">
        <v>22</v>
      </c>
      <c r="E61" s="1" t="s">
        <v>17</v>
      </c>
      <c r="F61" s="1" t="s">
        <v>11</v>
      </c>
      <c r="G61" s="1" t="s">
        <v>39</v>
      </c>
      <c r="H61" s="1" t="s">
        <v>33</v>
      </c>
      <c r="I61" s="1" t="s">
        <v>31</v>
      </c>
      <c r="J61" s="1">
        <v>696.81069761586082</v>
      </c>
      <c r="K61" s="3">
        <v>30.21220372182901</v>
      </c>
      <c r="L61" s="4">
        <v>9.9897857119795777E-2</v>
      </c>
      <c r="M61" s="3">
        <v>4.4611863311108841</v>
      </c>
      <c r="N61" s="4">
        <v>0.28515499329898969</v>
      </c>
    </row>
    <row r="62" spans="1:14" x14ac:dyDescent="0.25">
      <c r="A62">
        <v>21</v>
      </c>
      <c r="B62" s="3" t="s">
        <v>44</v>
      </c>
      <c r="C62" s="1" t="s">
        <v>15</v>
      </c>
      <c r="D62" s="1" t="s">
        <v>22</v>
      </c>
      <c r="E62" s="1" t="s">
        <v>29</v>
      </c>
      <c r="F62" s="1" t="s">
        <v>23</v>
      </c>
      <c r="G62" s="1" t="s">
        <v>34</v>
      </c>
      <c r="H62" s="1" t="s">
        <v>30</v>
      </c>
      <c r="I62" s="1" t="s">
        <v>31</v>
      </c>
      <c r="J62" s="1">
        <v>495.58882510192927</v>
      </c>
      <c r="K62" s="3">
        <v>25.761026144140789</v>
      </c>
      <c r="L62" s="4">
        <v>0.17917733206862821</v>
      </c>
      <c r="M62" s="3">
        <v>2.2344005380713279</v>
      </c>
      <c r="N62" s="4">
        <v>0.25651376000433213</v>
      </c>
    </row>
    <row r="63" spans="1:14" x14ac:dyDescent="0.25">
      <c r="A63">
        <v>23</v>
      </c>
      <c r="B63" s="3" t="s">
        <v>44</v>
      </c>
      <c r="C63" s="1" t="s">
        <v>8</v>
      </c>
      <c r="D63" s="1" t="s">
        <v>9</v>
      </c>
      <c r="E63" s="1" t="s">
        <v>37</v>
      </c>
      <c r="F63" s="1" t="s">
        <v>23</v>
      </c>
      <c r="G63" s="1" t="s">
        <v>32</v>
      </c>
      <c r="H63" s="1" t="s">
        <v>26</v>
      </c>
      <c r="I63" s="1" t="s">
        <v>27</v>
      </c>
      <c r="J63" s="1">
        <v>294.05947140624812</v>
      </c>
      <c r="K63" s="3">
        <v>42.450393069510469</v>
      </c>
      <c r="L63" s="4">
        <v>7.3005509594202878E-2</v>
      </c>
      <c r="M63" s="3">
        <v>2.391060998990294</v>
      </c>
      <c r="N63" s="4">
        <v>0.18294062777081871</v>
      </c>
    </row>
    <row r="64" spans="1:14" x14ac:dyDescent="0.25">
      <c r="A64">
        <v>25</v>
      </c>
      <c r="B64" s="3" t="s">
        <v>44</v>
      </c>
      <c r="C64" s="1" t="s">
        <v>21</v>
      </c>
      <c r="D64" s="1" t="s">
        <v>16</v>
      </c>
      <c r="E64" s="1" t="s">
        <v>37</v>
      </c>
      <c r="F64" s="1" t="s">
        <v>18</v>
      </c>
      <c r="G64" s="1" t="s">
        <v>41</v>
      </c>
      <c r="H64" s="1" t="s">
        <v>33</v>
      </c>
      <c r="I64" s="1" t="s">
        <v>19</v>
      </c>
      <c r="J64" s="1">
        <v>415.68001582094871</v>
      </c>
      <c r="K64" s="3">
        <v>23.1050477214369</v>
      </c>
      <c r="L64" s="4">
        <v>9.9897857119795777E-2</v>
      </c>
      <c r="M64" s="3">
        <v>2.391060998990294</v>
      </c>
      <c r="N64" s="4">
        <v>0.22479924456866621</v>
      </c>
    </row>
    <row r="65" spans="1:14" x14ac:dyDescent="0.25">
      <c r="A65">
        <v>27</v>
      </c>
      <c r="B65" s="3" t="s">
        <v>44</v>
      </c>
      <c r="C65" s="1" t="s">
        <v>40</v>
      </c>
      <c r="D65" s="1" t="s">
        <v>9</v>
      </c>
      <c r="E65" s="1" t="s">
        <v>17</v>
      </c>
      <c r="F65" s="1" t="s">
        <v>35</v>
      </c>
      <c r="G65" s="1" t="s">
        <v>28</v>
      </c>
      <c r="H65" s="1" t="s">
        <v>26</v>
      </c>
      <c r="I65" s="1" t="s">
        <v>31</v>
      </c>
      <c r="J65" s="1">
        <v>720.91010268149512</v>
      </c>
      <c r="K65" s="3">
        <v>37.446775253972348</v>
      </c>
      <c r="L65" s="4">
        <v>0.25577787661114959</v>
      </c>
      <c r="M65" s="3">
        <v>7.1168489736991756</v>
      </c>
      <c r="N65" s="4">
        <v>0.34981255561364211</v>
      </c>
    </row>
    <row r="66" spans="1:14" x14ac:dyDescent="0.25">
      <c r="A66">
        <v>29</v>
      </c>
      <c r="B66" s="3" t="s">
        <v>44</v>
      </c>
      <c r="C66" s="1" t="s">
        <v>25</v>
      </c>
      <c r="D66" s="1" t="s">
        <v>22</v>
      </c>
      <c r="E66" s="1" t="s">
        <v>37</v>
      </c>
      <c r="F66" s="1" t="s">
        <v>11</v>
      </c>
      <c r="G66" s="1" t="s">
        <v>32</v>
      </c>
      <c r="H66" s="1" t="s">
        <v>30</v>
      </c>
      <c r="I66" s="1" t="s">
        <v>27</v>
      </c>
      <c r="J66" s="1">
        <v>573.45234536559701</v>
      </c>
      <c r="K66" s="3">
        <v>31.988254494707039</v>
      </c>
      <c r="L66" s="4">
        <v>0.17917733206862821</v>
      </c>
      <c r="M66" s="3">
        <v>4.5020717030418531</v>
      </c>
      <c r="N66" s="4">
        <v>0.2910865626887707</v>
      </c>
    </row>
    <row r="67" spans="1:14" x14ac:dyDescent="0.25">
      <c r="A67">
        <v>31</v>
      </c>
      <c r="B67" s="3" t="s">
        <v>44</v>
      </c>
      <c r="C67" s="1" t="s">
        <v>15</v>
      </c>
      <c r="D67" s="1" t="s">
        <v>9</v>
      </c>
      <c r="E67" s="1" t="s">
        <v>29</v>
      </c>
      <c r="F67" s="1" t="s">
        <v>11</v>
      </c>
      <c r="G67" s="1" t="s">
        <v>20</v>
      </c>
      <c r="H67" s="1" t="s">
        <v>26</v>
      </c>
      <c r="I67" s="1" t="s">
        <v>19</v>
      </c>
      <c r="J67" s="1">
        <v>545.77266574920179</v>
      </c>
      <c r="K67" s="3">
        <v>42.957474570995288</v>
      </c>
      <c r="L67" s="4">
        <v>0.18491415701193711</v>
      </c>
      <c r="M67" s="3">
        <v>4.4498966056967122</v>
      </c>
      <c r="N67" s="4">
        <v>0.28087418717400608</v>
      </c>
    </row>
    <row r="68" spans="1:14" x14ac:dyDescent="0.25">
      <c r="A68">
        <v>33</v>
      </c>
      <c r="B68" s="3" t="s">
        <v>44</v>
      </c>
      <c r="C68" s="1" t="s">
        <v>21</v>
      </c>
      <c r="D68" s="1" t="s">
        <v>22</v>
      </c>
      <c r="E68" s="1" t="s">
        <v>37</v>
      </c>
      <c r="F68" s="1" t="s">
        <v>35</v>
      </c>
      <c r="G68" s="1" t="s">
        <v>39</v>
      </c>
      <c r="H68" s="1" t="s">
        <v>12</v>
      </c>
      <c r="I68" s="1" t="s">
        <v>19</v>
      </c>
      <c r="J68" s="1">
        <v>610.02358125508351</v>
      </c>
      <c r="K68" s="3">
        <v>37.920198615682011</v>
      </c>
      <c r="L68" s="4">
        <v>0.27131122626152698</v>
      </c>
      <c r="M68" s="3">
        <v>7.3585943681276529</v>
      </c>
      <c r="N68" s="4">
        <v>0.3561087509382424</v>
      </c>
    </row>
    <row r="69" spans="1:14" x14ac:dyDescent="0.25">
      <c r="A69">
        <v>35</v>
      </c>
      <c r="B69" s="3" t="s">
        <v>44</v>
      </c>
      <c r="C69" s="1" t="s">
        <v>25</v>
      </c>
      <c r="D69" s="1" t="s">
        <v>16</v>
      </c>
      <c r="E69" s="1" t="s">
        <v>37</v>
      </c>
      <c r="F69" s="1" t="s">
        <v>18</v>
      </c>
      <c r="G69" s="1" t="s">
        <v>39</v>
      </c>
      <c r="H69" s="1" t="s">
        <v>12</v>
      </c>
      <c r="I69" s="1" t="s">
        <v>13</v>
      </c>
      <c r="J69" s="1">
        <v>307.91532286630729</v>
      </c>
      <c r="K69" s="3">
        <v>28.213310860324128</v>
      </c>
      <c r="L69" s="4">
        <v>9.9897857119795777E-2</v>
      </c>
      <c r="M69" s="3">
        <v>2.6042442148223031</v>
      </c>
      <c r="N69" s="4">
        <v>0.18955232651186979</v>
      </c>
    </row>
    <row r="70" spans="1:14" x14ac:dyDescent="0.25">
      <c r="A70">
        <v>37</v>
      </c>
      <c r="B70" s="3" t="s">
        <v>44</v>
      </c>
      <c r="C70" s="1" t="s">
        <v>8</v>
      </c>
      <c r="D70" s="1" t="s">
        <v>16</v>
      </c>
      <c r="E70" s="1" t="s">
        <v>10</v>
      </c>
      <c r="F70" s="1" t="s">
        <v>18</v>
      </c>
      <c r="G70" s="1" t="s">
        <v>32</v>
      </c>
      <c r="H70" s="1" t="s">
        <v>26</v>
      </c>
      <c r="I70" s="1" t="s">
        <v>19</v>
      </c>
      <c r="J70" s="1">
        <v>449.13093283360729</v>
      </c>
      <c r="K70" s="3">
        <v>42.450393069510469</v>
      </c>
      <c r="L70" s="4">
        <v>0.16617445551725141</v>
      </c>
      <c r="M70" s="3">
        <v>2.6334829746684498</v>
      </c>
      <c r="N70" s="4">
        <v>0.24905707173957051</v>
      </c>
    </row>
    <row r="71" spans="1:14" x14ac:dyDescent="0.25">
      <c r="A71">
        <v>39</v>
      </c>
      <c r="B71" s="3" t="s">
        <v>44</v>
      </c>
      <c r="C71" s="1" t="s">
        <v>15</v>
      </c>
      <c r="D71" s="1" t="s">
        <v>22</v>
      </c>
      <c r="E71" s="1" t="s">
        <v>37</v>
      </c>
      <c r="F71" s="1" t="s">
        <v>23</v>
      </c>
      <c r="G71" s="1" t="s">
        <v>41</v>
      </c>
      <c r="H71" s="1" t="s">
        <v>30</v>
      </c>
      <c r="I71" s="1" t="s">
        <v>19</v>
      </c>
      <c r="J71" s="1">
        <v>252.880529766411</v>
      </c>
      <c r="K71" s="3">
        <v>35.14527034142445</v>
      </c>
      <c r="L71" s="4">
        <v>0.22905363271008869</v>
      </c>
      <c r="M71" s="3">
        <v>5.622500309087072</v>
      </c>
      <c r="N71" s="4">
        <v>0.32331029713287818</v>
      </c>
    </row>
    <row r="72" spans="1:14" x14ac:dyDescent="0.25">
      <c r="A72">
        <v>41</v>
      </c>
      <c r="B72" s="3" t="s">
        <v>44</v>
      </c>
      <c r="C72" s="1" t="s">
        <v>40</v>
      </c>
      <c r="D72" s="1" t="s">
        <v>22</v>
      </c>
      <c r="E72" s="1" t="s">
        <v>17</v>
      </c>
      <c r="F72" s="1" t="s">
        <v>23</v>
      </c>
      <c r="G72" s="1" t="s">
        <v>14</v>
      </c>
      <c r="H72" s="1" t="s">
        <v>30</v>
      </c>
      <c r="I72" s="1" t="s">
        <v>27</v>
      </c>
      <c r="J72" s="1">
        <v>447.27848635895299</v>
      </c>
      <c r="K72" s="3">
        <v>42.957474570995288</v>
      </c>
      <c r="L72" s="4">
        <v>0.30486450852597691</v>
      </c>
      <c r="M72" s="3">
        <v>8.929450265832779</v>
      </c>
      <c r="N72" s="4">
        <v>0.41054204530787919</v>
      </c>
    </row>
    <row r="73" spans="1:14" x14ac:dyDescent="0.25">
      <c r="A73">
        <v>43</v>
      </c>
      <c r="B73" s="3" t="s">
        <v>44</v>
      </c>
      <c r="C73" s="1" t="s">
        <v>21</v>
      </c>
      <c r="D73" s="1" t="s">
        <v>9</v>
      </c>
      <c r="E73" s="1" t="s">
        <v>29</v>
      </c>
      <c r="F73" s="1" t="s">
        <v>11</v>
      </c>
      <c r="G73" s="1" t="s">
        <v>38</v>
      </c>
      <c r="H73" s="1" t="s">
        <v>30</v>
      </c>
      <c r="I73" s="1" t="s">
        <v>27</v>
      </c>
      <c r="J73" s="1">
        <v>503.2671201808941</v>
      </c>
      <c r="K73" s="3">
        <v>26.96311664321771</v>
      </c>
      <c r="L73" s="4">
        <v>0.1810031805337412</v>
      </c>
      <c r="M73" s="3">
        <v>2.391060998990294</v>
      </c>
      <c r="N73" s="4">
        <v>0.26813506639730089</v>
      </c>
    </row>
    <row r="74" spans="1:14" x14ac:dyDescent="0.25">
      <c r="A74">
        <v>45</v>
      </c>
      <c r="B74" s="3" t="s">
        <v>44</v>
      </c>
      <c r="C74" s="1" t="s">
        <v>15</v>
      </c>
      <c r="D74" s="1" t="s">
        <v>9</v>
      </c>
      <c r="E74" s="1" t="s">
        <v>17</v>
      </c>
      <c r="F74" s="1" t="s">
        <v>18</v>
      </c>
      <c r="G74" s="1" t="s">
        <v>24</v>
      </c>
      <c r="H74" s="1" t="s">
        <v>33</v>
      </c>
      <c r="I74" s="1" t="s">
        <v>19</v>
      </c>
      <c r="J74" s="1">
        <v>291.05760965024848</v>
      </c>
      <c r="K74" s="3">
        <v>30.21220372182901</v>
      </c>
      <c r="L74" s="4">
        <v>0.27990155171090281</v>
      </c>
      <c r="M74" s="3">
        <v>6.0288776681174978</v>
      </c>
      <c r="N74" s="4">
        <v>0.36212322494095361</v>
      </c>
    </row>
    <row r="75" spans="1:14" x14ac:dyDescent="0.25">
      <c r="A75">
        <v>47</v>
      </c>
      <c r="B75" s="3" t="s">
        <v>44</v>
      </c>
      <c r="C75" s="1" t="s">
        <v>15</v>
      </c>
      <c r="D75" s="1" t="s">
        <v>9</v>
      </c>
      <c r="E75" s="1" t="s">
        <v>37</v>
      </c>
      <c r="F75" s="1" t="s">
        <v>35</v>
      </c>
      <c r="G75" s="1" t="s">
        <v>14</v>
      </c>
      <c r="H75" s="1" t="s">
        <v>33</v>
      </c>
      <c r="I75" s="1" t="s">
        <v>13</v>
      </c>
      <c r="J75" s="1">
        <v>559.97758335747517</v>
      </c>
      <c r="K75" s="3">
        <v>30.116527726833709</v>
      </c>
      <c r="L75" s="4">
        <v>9.9897857119795777E-2</v>
      </c>
      <c r="M75" s="3">
        <v>4.4611863311108841</v>
      </c>
      <c r="N75" s="4">
        <v>0.28336942798927012</v>
      </c>
    </row>
    <row r="76" spans="1:14" x14ac:dyDescent="0.25">
      <c r="A76">
        <v>49</v>
      </c>
      <c r="B76" s="3" t="s">
        <v>44</v>
      </c>
      <c r="C76" s="1" t="s">
        <v>40</v>
      </c>
      <c r="D76" s="1" t="s">
        <v>9</v>
      </c>
      <c r="E76" s="1" t="s">
        <v>10</v>
      </c>
      <c r="F76" s="1" t="s">
        <v>18</v>
      </c>
      <c r="G76" s="1" t="s">
        <v>41</v>
      </c>
      <c r="H76" s="1" t="s">
        <v>26</v>
      </c>
      <c r="I76" s="1" t="s">
        <v>27</v>
      </c>
      <c r="J76" s="1">
        <v>606.72437794032601</v>
      </c>
      <c r="K76" s="3">
        <v>33.488511070211693</v>
      </c>
      <c r="L76" s="4">
        <v>0.18479239883959939</v>
      </c>
      <c r="M76" s="3">
        <v>4.4498966056967122</v>
      </c>
      <c r="N76" s="4">
        <v>0.30257537012267921</v>
      </c>
    </row>
    <row r="77" spans="1:14" x14ac:dyDescent="0.25">
      <c r="A77">
        <v>51</v>
      </c>
      <c r="B77" s="3" t="s">
        <v>44</v>
      </c>
      <c r="C77" s="1" t="s">
        <v>40</v>
      </c>
      <c r="D77" s="1" t="s">
        <v>22</v>
      </c>
      <c r="E77" s="1" t="s">
        <v>10</v>
      </c>
      <c r="F77" s="1" t="s">
        <v>11</v>
      </c>
      <c r="G77" s="1" t="s">
        <v>32</v>
      </c>
      <c r="H77" s="1" t="s">
        <v>30</v>
      </c>
      <c r="I77" s="1" t="s">
        <v>31</v>
      </c>
      <c r="J77" s="1">
        <v>504.65458741369969</v>
      </c>
      <c r="K77" s="3">
        <v>42.450393069510469</v>
      </c>
      <c r="L77" s="4">
        <v>0.27990155171090281</v>
      </c>
      <c r="M77" s="3">
        <v>6.5150154200946098</v>
      </c>
      <c r="N77" s="4">
        <v>0.3718495870650842</v>
      </c>
    </row>
    <row r="78" spans="1:14" x14ac:dyDescent="0.25">
      <c r="A78">
        <v>53</v>
      </c>
      <c r="B78" s="3" t="s">
        <v>44</v>
      </c>
      <c r="C78" s="1" t="s">
        <v>8</v>
      </c>
      <c r="D78" s="1" t="s">
        <v>16</v>
      </c>
      <c r="E78" s="1" t="s">
        <v>17</v>
      </c>
      <c r="F78" s="1" t="s">
        <v>23</v>
      </c>
      <c r="G78" s="1" t="s">
        <v>34</v>
      </c>
      <c r="H78" s="1" t="s">
        <v>33</v>
      </c>
      <c r="I78" s="1" t="s">
        <v>31</v>
      </c>
      <c r="J78" s="1">
        <v>569.036813905543</v>
      </c>
      <c r="K78" s="3">
        <v>37.510906147376723</v>
      </c>
      <c r="L78" s="4">
        <v>0.16617445551725141</v>
      </c>
      <c r="M78" s="3">
        <v>4.5019279208872431</v>
      </c>
      <c r="N78" s="4">
        <v>0.28728976709457338</v>
      </c>
    </row>
    <row r="79" spans="1:14" x14ac:dyDescent="0.25">
      <c r="A79">
        <v>55</v>
      </c>
      <c r="B79" s="3" t="s">
        <v>44</v>
      </c>
      <c r="C79" s="1" t="s">
        <v>15</v>
      </c>
      <c r="D79" s="1" t="s">
        <v>9</v>
      </c>
      <c r="E79" s="1" t="s">
        <v>17</v>
      </c>
      <c r="F79" s="1" t="s">
        <v>11</v>
      </c>
      <c r="G79" s="1" t="s">
        <v>36</v>
      </c>
      <c r="H79" s="1" t="s">
        <v>30</v>
      </c>
      <c r="I79" s="1" t="s">
        <v>31</v>
      </c>
      <c r="J79" s="1">
        <v>438.67524693903368</v>
      </c>
      <c r="K79" s="3">
        <v>25.659829377999021</v>
      </c>
      <c r="L79" s="4">
        <v>0.16617445551725141</v>
      </c>
      <c r="M79" s="3">
        <v>2.6334829746684498</v>
      </c>
      <c r="N79" s="4">
        <v>0.24060566113363149</v>
      </c>
    </row>
    <row r="80" spans="1:14" x14ac:dyDescent="0.25">
      <c r="A80">
        <v>57</v>
      </c>
      <c r="B80" s="3" t="s">
        <v>44</v>
      </c>
      <c r="C80" s="1" t="s">
        <v>25</v>
      </c>
      <c r="D80" s="1" t="s">
        <v>16</v>
      </c>
      <c r="E80" s="1" t="s">
        <v>10</v>
      </c>
      <c r="F80" s="1" t="s">
        <v>11</v>
      </c>
      <c r="G80" s="1" t="s">
        <v>28</v>
      </c>
      <c r="H80" s="1" t="s">
        <v>12</v>
      </c>
      <c r="I80" s="1" t="s">
        <v>19</v>
      </c>
      <c r="J80" s="1">
        <v>497.81317760107709</v>
      </c>
      <c r="K80" s="3">
        <v>28.213310860324128</v>
      </c>
      <c r="L80" s="4">
        <v>0.23905291654922339</v>
      </c>
      <c r="M80" s="3">
        <v>5.7331964921936969</v>
      </c>
      <c r="N80" s="4">
        <v>0.33006229745372762</v>
      </c>
    </row>
    <row r="81" spans="1:14" x14ac:dyDescent="0.25">
      <c r="A81">
        <v>59</v>
      </c>
      <c r="B81" s="3" t="s">
        <v>44</v>
      </c>
      <c r="C81" s="1" t="s">
        <v>25</v>
      </c>
      <c r="D81" s="1" t="s">
        <v>22</v>
      </c>
      <c r="E81" s="1" t="s">
        <v>29</v>
      </c>
      <c r="F81" s="1" t="s">
        <v>11</v>
      </c>
      <c r="G81" s="1" t="s">
        <v>38</v>
      </c>
      <c r="H81" s="1" t="s">
        <v>33</v>
      </c>
      <c r="I81" s="1" t="s">
        <v>31</v>
      </c>
      <c r="J81" s="1">
        <v>523.01127462814736</v>
      </c>
      <c r="K81" s="3">
        <v>32.509503541037532</v>
      </c>
      <c r="L81" s="4">
        <v>0.18491415701193711</v>
      </c>
      <c r="M81" s="3">
        <v>3.9722661653266131</v>
      </c>
      <c r="N81" s="4">
        <v>0.2743413460545816</v>
      </c>
    </row>
    <row r="82" spans="1:14" x14ac:dyDescent="0.25">
      <c r="A82">
        <v>61</v>
      </c>
      <c r="B82" s="3" t="s">
        <v>44</v>
      </c>
      <c r="C82" s="1" t="s">
        <v>15</v>
      </c>
      <c r="D82" s="1" t="s">
        <v>16</v>
      </c>
      <c r="E82" s="1" t="s">
        <v>17</v>
      </c>
      <c r="F82" s="1" t="s">
        <v>18</v>
      </c>
      <c r="G82" s="1" t="s">
        <v>20</v>
      </c>
      <c r="H82" s="1" t="s">
        <v>12</v>
      </c>
      <c r="I82" s="1" t="s">
        <v>19</v>
      </c>
      <c r="J82" s="1">
        <v>319.56344705841639</v>
      </c>
      <c r="K82" s="3">
        <v>42.863547025446572</v>
      </c>
      <c r="L82" s="4">
        <v>9.9897857119795777E-2</v>
      </c>
      <c r="M82" s="3">
        <v>2.6042442148223031</v>
      </c>
      <c r="N82" s="4">
        <v>0.19223505408993111</v>
      </c>
    </row>
    <row r="83" spans="1:14" x14ac:dyDescent="0.25">
      <c r="A83">
        <v>63</v>
      </c>
      <c r="B83" s="3" t="s">
        <v>44</v>
      </c>
      <c r="C83" s="1" t="s">
        <v>40</v>
      </c>
      <c r="D83" s="1" t="s">
        <v>9</v>
      </c>
      <c r="E83" s="1" t="s">
        <v>37</v>
      </c>
      <c r="F83" s="1" t="s">
        <v>35</v>
      </c>
      <c r="G83" s="1" t="s">
        <v>38</v>
      </c>
      <c r="H83" s="1" t="s">
        <v>26</v>
      </c>
      <c r="I83" s="1" t="s">
        <v>19</v>
      </c>
      <c r="J83" s="1">
        <v>305.47024795509333</v>
      </c>
      <c r="K83" s="3">
        <v>20.833658043879868</v>
      </c>
      <c r="L83" s="4">
        <v>9.9897857119795777E-2</v>
      </c>
      <c r="M83" s="3">
        <v>2.6042442148223031</v>
      </c>
      <c r="N83" s="4">
        <v>0.18679294537118299</v>
      </c>
    </row>
    <row r="84" spans="1:14" x14ac:dyDescent="0.25">
      <c r="A84">
        <v>65</v>
      </c>
      <c r="B84" s="3" t="s">
        <v>44</v>
      </c>
      <c r="C84" s="1" t="s">
        <v>21</v>
      </c>
      <c r="D84" s="1" t="s">
        <v>9</v>
      </c>
      <c r="E84" s="1" t="s">
        <v>29</v>
      </c>
      <c r="F84" s="1" t="s">
        <v>11</v>
      </c>
      <c r="G84" s="1" t="s">
        <v>32</v>
      </c>
      <c r="H84" s="1" t="s">
        <v>26</v>
      </c>
      <c r="I84" s="1" t="s">
        <v>27</v>
      </c>
      <c r="J84" s="1">
        <v>473.37922936466907</v>
      </c>
      <c r="K84" s="3">
        <v>25.369547601790899</v>
      </c>
      <c r="L84" s="4">
        <v>7.3005509594202878E-2</v>
      </c>
      <c r="M84" s="3">
        <v>2.750715816324262</v>
      </c>
      <c r="N84" s="4">
        <v>0.25202637409654721</v>
      </c>
    </row>
    <row r="85" spans="1:14" x14ac:dyDescent="0.25">
      <c r="A85">
        <v>67</v>
      </c>
      <c r="B85" s="3" t="s">
        <v>44</v>
      </c>
      <c r="C85" s="1" t="s">
        <v>15</v>
      </c>
      <c r="D85" s="1" t="s">
        <v>22</v>
      </c>
      <c r="E85" s="1" t="s">
        <v>10</v>
      </c>
      <c r="F85" s="1" t="s">
        <v>35</v>
      </c>
      <c r="G85" s="1" t="s">
        <v>14</v>
      </c>
      <c r="H85" s="1" t="s">
        <v>12</v>
      </c>
      <c r="I85" s="1" t="s">
        <v>19</v>
      </c>
      <c r="J85" s="1">
        <v>659.36358432663053</v>
      </c>
      <c r="K85" s="3">
        <v>35.629086509343651</v>
      </c>
      <c r="L85" s="4">
        <v>0.24660854919634351</v>
      </c>
      <c r="M85" s="3">
        <v>5.7681308978786143</v>
      </c>
      <c r="N85" s="4">
        <v>0.33292245175206381</v>
      </c>
    </row>
    <row r="86" spans="1:14" x14ac:dyDescent="0.25">
      <c r="A86">
        <v>69</v>
      </c>
      <c r="B86" s="3" t="s">
        <v>44</v>
      </c>
      <c r="C86" s="1" t="s">
        <v>8</v>
      </c>
      <c r="D86" s="1" t="s">
        <v>9</v>
      </c>
      <c r="E86" s="1" t="s">
        <v>17</v>
      </c>
      <c r="F86" s="1" t="s">
        <v>11</v>
      </c>
      <c r="G86" s="1" t="s">
        <v>28</v>
      </c>
      <c r="H86" s="1" t="s">
        <v>26</v>
      </c>
      <c r="I86" s="1" t="s">
        <v>13</v>
      </c>
      <c r="J86" s="1">
        <v>608.0353746788893</v>
      </c>
      <c r="K86" s="3">
        <v>33.594994608612112</v>
      </c>
      <c r="L86" s="4">
        <v>0.18491415701193711</v>
      </c>
      <c r="M86" s="3">
        <v>4.4611863311108841</v>
      </c>
      <c r="N86" s="4">
        <v>0.30329966544333942</v>
      </c>
    </row>
    <row r="87" spans="1:14" x14ac:dyDescent="0.25">
      <c r="A87">
        <v>71</v>
      </c>
      <c r="B87" s="3" t="s">
        <v>44</v>
      </c>
      <c r="C87" s="1" t="s">
        <v>40</v>
      </c>
      <c r="D87" s="1" t="s">
        <v>9</v>
      </c>
      <c r="E87" s="1" t="s">
        <v>37</v>
      </c>
      <c r="F87" s="1" t="s">
        <v>23</v>
      </c>
      <c r="G87" s="1" t="s">
        <v>39</v>
      </c>
      <c r="H87" s="1" t="s">
        <v>30</v>
      </c>
      <c r="I87" s="1" t="s">
        <v>27</v>
      </c>
      <c r="J87" s="1">
        <v>573.24211385453748</v>
      </c>
      <c r="K87" s="3">
        <v>31.780339128994552</v>
      </c>
      <c r="L87" s="4">
        <v>0.17917733206862821</v>
      </c>
      <c r="M87" s="3">
        <v>4.5020717030418531</v>
      </c>
      <c r="N87" s="4">
        <v>0.28948886558907888</v>
      </c>
    </row>
    <row r="88" spans="1:14" x14ac:dyDescent="0.25">
      <c r="A88">
        <v>73</v>
      </c>
      <c r="B88" s="3" t="s">
        <v>44</v>
      </c>
      <c r="C88" s="1" t="s">
        <v>8</v>
      </c>
      <c r="D88" s="1" t="s">
        <v>9</v>
      </c>
      <c r="E88" s="1" t="s">
        <v>37</v>
      </c>
      <c r="F88" s="1" t="s">
        <v>35</v>
      </c>
      <c r="G88" s="1" t="s">
        <v>39</v>
      </c>
      <c r="H88" s="1" t="s">
        <v>33</v>
      </c>
      <c r="I88" s="1" t="s">
        <v>19</v>
      </c>
      <c r="J88" s="1">
        <v>581.24124671152902</v>
      </c>
      <c r="K88" s="3">
        <v>32.124851019620138</v>
      </c>
      <c r="L88" s="4">
        <v>0.1810031805337412</v>
      </c>
      <c r="M88" s="3">
        <v>4.5580608009335544</v>
      </c>
      <c r="N88" s="4">
        <v>0.29284631491392171</v>
      </c>
    </row>
    <row r="89" spans="1:14" x14ac:dyDescent="0.25">
      <c r="A89">
        <v>75</v>
      </c>
      <c r="B89" s="3" t="s">
        <v>44</v>
      </c>
      <c r="C89" s="1" t="s">
        <v>25</v>
      </c>
      <c r="D89" s="1" t="s">
        <v>9</v>
      </c>
      <c r="E89" s="1" t="s">
        <v>37</v>
      </c>
      <c r="F89" s="1" t="s">
        <v>23</v>
      </c>
      <c r="G89" s="1" t="s">
        <v>24</v>
      </c>
      <c r="H89" s="1" t="s">
        <v>26</v>
      </c>
      <c r="I89" s="1" t="s">
        <v>27</v>
      </c>
      <c r="J89" s="1">
        <v>545.77266574920179</v>
      </c>
      <c r="K89" s="3">
        <v>28.61134162948003</v>
      </c>
      <c r="L89" s="4">
        <v>9.9897857119795777E-2</v>
      </c>
      <c r="M89" s="3">
        <v>2.391060998990294</v>
      </c>
      <c r="N89" s="4">
        <v>0.2248782794162171</v>
      </c>
    </row>
    <row r="90" spans="1:14" x14ac:dyDescent="0.25">
      <c r="A90">
        <v>77</v>
      </c>
      <c r="B90" s="3" t="s">
        <v>44</v>
      </c>
      <c r="C90" s="1" t="s">
        <v>8</v>
      </c>
      <c r="D90" s="1" t="s">
        <v>22</v>
      </c>
      <c r="E90" s="1" t="s">
        <v>29</v>
      </c>
      <c r="F90" s="1" t="s">
        <v>23</v>
      </c>
      <c r="G90" s="1" t="s">
        <v>41</v>
      </c>
      <c r="H90" s="1" t="s">
        <v>26</v>
      </c>
      <c r="I90" s="1" t="s">
        <v>31</v>
      </c>
      <c r="J90" s="1">
        <v>886.1339798802187</v>
      </c>
      <c r="K90" s="3">
        <v>21.380953935177011</v>
      </c>
      <c r="L90" s="4">
        <v>9.9897857119795777E-2</v>
      </c>
      <c r="M90" s="3">
        <v>2.6334829746684498</v>
      </c>
      <c r="N90" s="4">
        <v>0.19529177275776979</v>
      </c>
    </row>
    <row r="91" spans="1:14" x14ac:dyDescent="0.25">
      <c r="A91">
        <v>79</v>
      </c>
      <c r="B91" s="3" t="s">
        <v>44</v>
      </c>
      <c r="C91" s="1" t="s">
        <v>15</v>
      </c>
      <c r="D91" s="1" t="s">
        <v>9</v>
      </c>
      <c r="E91" s="1" t="s">
        <v>10</v>
      </c>
      <c r="F91" s="1" t="s">
        <v>11</v>
      </c>
      <c r="G91" s="1" t="s">
        <v>36</v>
      </c>
      <c r="H91" s="1" t="s">
        <v>12</v>
      </c>
      <c r="I91" s="1" t="s">
        <v>13</v>
      </c>
      <c r="J91" s="1">
        <v>886.1339798802187</v>
      </c>
      <c r="K91" s="3">
        <v>28.856357791851678</v>
      </c>
      <c r="L91" s="4">
        <v>0.35185508179490538</v>
      </c>
      <c r="M91" s="3">
        <v>9.1214958497639742</v>
      </c>
      <c r="N91" s="4">
        <v>0.41063671974599147</v>
      </c>
    </row>
    <row r="92" spans="1:14" x14ac:dyDescent="0.25">
      <c r="A92">
        <v>81</v>
      </c>
      <c r="B92" s="3" t="s">
        <v>44</v>
      </c>
      <c r="C92" s="1" t="s">
        <v>25</v>
      </c>
      <c r="D92" s="1" t="s">
        <v>22</v>
      </c>
      <c r="E92" s="1" t="s">
        <v>37</v>
      </c>
      <c r="F92" s="1" t="s">
        <v>23</v>
      </c>
      <c r="G92" s="1" t="s">
        <v>32</v>
      </c>
      <c r="H92" s="1" t="s">
        <v>33</v>
      </c>
      <c r="I92" s="1" t="s">
        <v>19</v>
      </c>
      <c r="J92" s="1">
        <v>558.42480133446179</v>
      </c>
      <c r="K92" s="3">
        <v>22.71292327512996</v>
      </c>
      <c r="L92" s="4">
        <v>9.9897857119795777E-2</v>
      </c>
      <c r="M92" s="3">
        <v>4.4611863311108841</v>
      </c>
      <c r="N92" s="4">
        <v>0.28215109754040218</v>
      </c>
    </row>
    <row r="93" spans="1:14" x14ac:dyDescent="0.25">
      <c r="A93">
        <v>83</v>
      </c>
      <c r="B93" s="3" t="s">
        <v>44</v>
      </c>
      <c r="C93" s="1" t="s">
        <v>40</v>
      </c>
      <c r="D93" s="1" t="s">
        <v>22</v>
      </c>
      <c r="E93" s="1" t="s">
        <v>37</v>
      </c>
      <c r="F93" s="1" t="s">
        <v>35</v>
      </c>
      <c r="G93" s="1" t="s">
        <v>24</v>
      </c>
      <c r="H93" s="1" t="s">
        <v>26</v>
      </c>
      <c r="I93" s="1" t="s">
        <v>31</v>
      </c>
      <c r="J93" s="1">
        <v>252.880529766411</v>
      </c>
      <c r="K93" s="3">
        <v>34.233542912614041</v>
      </c>
      <c r="L93" s="4">
        <v>0.22905363271008869</v>
      </c>
      <c r="M93" s="3">
        <v>5.4069272717344461</v>
      </c>
      <c r="N93" s="4">
        <v>0.31094851703248888</v>
      </c>
    </row>
    <row r="94" spans="1:14" x14ac:dyDescent="0.25">
      <c r="A94">
        <v>85</v>
      </c>
      <c r="B94" s="3" t="s">
        <v>44</v>
      </c>
      <c r="C94" s="1" t="s">
        <v>21</v>
      </c>
      <c r="D94" s="1" t="s">
        <v>22</v>
      </c>
      <c r="E94" s="1" t="s">
        <v>17</v>
      </c>
      <c r="F94" s="1" t="s">
        <v>11</v>
      </c>
      <c r="G94" s="1" t="s">
        <v>39</v>
      </c>
      <c r="H94" s="1" t="s">
        <v>33</v>
      </c>
      <c r="I94" s="1" t="s">
        <v>31</v>
      </c>
      <c r="J94" s="1">
        <v>817.8805740858752</v>
      </c>
      <c r="K94" s="3">
        <v>35.14527034142445</v>
      </c>
      <c r="L94" s="4">
        <v>0.28372444382937562</v>
      </c>
      <c r="M94" s="3">
        <v>8.2899354270025682</v>
      </c>
      <c r="N94" s="4">
        <v>0.39096878987349809</v>
      </c>
    </row>
    <row r="95" spans="1:14" x14ac:dyDescent="0.25">
      <c r="A95">
        <v>87</v>
      </c>
      <c r="B95" s="3" t="s">
        <v>44</v>
      </c>
      <c r="C95" s="1" t="s">
        <v>21</v>
      </c>
      <c r="D95" s="1" t="s">
        <v>16</v>
      </c>
      <c r="E95" s="1" t="s">
        <v>10</v>
      </c>
      <c r="F95" s="1" t="s">
        <v>18</v>
      </c>
      <c r="G95" s="1" t="s">
        <v>32</v>
      </c>
      <c r="H95" s="1" t="s">
        <v>30</v>
      </c>
      <c r="I95" s="1" t="s">
        <v>27</v>
      </c>
      <c r="J95" s="1">
        <v>518.08895796790466</v>
      </c>
      <c r="K95" s="3">
        <v>34.509555299643331</v>
      </c>
      <c r="L95" s="4">
        <v>0.22905363271008869</v>
      </c>
      <c r="M95" s="3">
        <v>5.4279598214684439</v>
      </c>
      <c r="N95" s="4">
        <v>0.31869611368775308</v>
      </c>
    </row>
    <row r="96" spans="1:14" x14ac:dyDescent="0.25">
      <c r="A96">
        <v>89</v>
      </c>
      <c r="B96" s="3" t="s">
        <v>44</v>
      </c>
      <c r="C96" s="1" t="s">
        <v>40</v>
      </c>
      <c r="D96" s="1" t="s">
        <v>16</v>
      </c>
      <c r="E96" s="1" t="s">
        <v>10</v>
      </c>
      <c r="F96" s="1" t="s">
        <v>11</v>
      </c>
      <c r="G96" s="1" t="s">
        <v>41</v>
      </c>
      <c r="H96" s="1" t="s">
        <v>30</v>
      </c>
      <c r="I96" s="1" t="s">
        <v>19</v>
      </c>
      <c r="J96" s="1">
        <v>375.22752388249648</v>
      </c>
      <c r="K96" s="3">
        <v>21.380953935177011</v>
      </c>
      <c r="L96" s="4">
        <v>9.9897857119795777E-2</v>
      </c>
      <c r="M96" s="3">
        <v>2.2344005380713279</v>
      </c>
      <c r="N96" s="4">
        <v>0.21289820988431221</v>
      </c>
    </row>
    <row r="97" spans="1:14" x14ac:dyDescent="0.25">
      <c r="A97">
        <v>91</v>
      </c>
      <c r="B97" s="3" t="s">
        <v>44</v>
      </c>
      <c r="C97" s="1" t="s">
        <v>8</v>
      </c>
      <c r="D97" s="1" t="s">
        <v>16</v>
      </c>
      <c r="E97" s="1" t="s">
        <v>17</v>
      </c>
      <c r="F97" s="1" t="s">
        <v>18</v>
      </c>
      <c r="G97" s="1" t="s">
        <v>28</v>
      </c>
      <c r="H97" s="1" t="s">
        <v>12</v>
      </c>
      <c r="I97" s="1" t="s">
        <v>31</v>
      </c>
      <c r="J97" s="1">
        <v>291.05760965024848</v>
      </c>
      <c r="K97" s="3">
        <v>39.870098609562831</v>
      </c>
      <c r="L97" s="4">
        <v>0.24660854919634351</v>
      </c>
      <c r="M97" s="3">
        <v>6.0288776681174978</v>
      </c>
      <c r="N97" s="4">
        <v>0.33856809984859187</v>
      </c>
    </row>
    <row r="98" spans="1:14" x14ac:dyDescent="0.25">
      <c r="A98">
        <v>93</v>
      </c>
      <c r="B98" s="3" t="s">
        <v>44</v>
      </c>
      <c r="C98" s="1" t="s">
        <v>15</v>
      </c>
      <c r="D98" s="1" t="s">
        <v>9</v>
      </c>
      <c r="E98" s="1" t="s">
        <v>17</v>
      </c>
      <c r="F98" s="1" t="s">
        <v>35</v>
      </c>
      <c r="G98" s="1" t="s">
        <v>24</v>
      </c>
      <c r="H98" s="1" t="s">
        <v>26</v>
      </c>
      <c r="I98" s="1" t="s">
        <v>13</v>
      </c>
      <c r="J98" s="1">
        <v>454.85168594785551</v>
      </c>
      <c r="K98" s="3">
        <v>21.380953935177011</v>
      </c>
      <c r="L98" s="4">
        <v>0.16617445551725141</v>
      </c>
      <c r="M98" s="3">
        <v>2.750715816324262</v>
      </c>
      <c r="N98" s="4">
        <v>0.24923385254589181</v>
      </c>
    </row>
    <row r="99" spans="1:14" x14ac:dyDescent="0.25">
      <c r="A99">
        <v>95</v>
      </c>
      <c r="B99" s="3" t="s">
        <v>44</v>
      </c>
      <c r="C99" s="1" t="s">
        <v>25</v>
      </c>
      <c r="D99" s="1" t="s">
        <v>22</v>
      </c>
      <c r="E99" s="1" t="s">
        <v>10</v>
      </c>
      <c r="F99" s="1" t="s">
        <v>18</v>
      </c>
      <c r="G99" s="1" t="s">
        <v>28</v>
      </c>
      <c r="H99" s="1" t="s">
        <v>26</v>
      </c>
      <c r="I99" s="1" t="s">
        <v>27</v>
      </c>
      <c r="J99" s="1">
        <v>518.08895796790466</v>
      </c>
      <c r="K99" s="3">
        <v>37.920198615682011</v>
      </c>
      <c r="L99" s="4">
        <v>0.18251118457953991</v>
      </c>
      <c r="M99" s="3">
        <v>3.028547907328913</v>
      </c>
      <c r="N99" s="4">
        <v>0.26977427974324081</v>
      </c>
    </row>
    <row r="100" spans="1:14" x14ac:dyDescent="0.25">
      <c r="A100">
        <v>97</v>
      </c>
      <c r="B100" s="3" t="s">
        <v>44</v>
      </c>
      <c r="C100" s="1" t="s">
        <v>40</v>
      </c>
      <c r="D100" s="1" t="s">
        <v>22</v>
      </c>
      <c r="E100" s="1" t="s">
        <v>29</v>
      </c>
      <c r="F100" s="1" t="s">
        <v>11</v>
      </c>
      <c r="G100" s="1" t="s">
        <v>34</v>
      </c>
      <c r="H100" s="1" t="s">
        <v>33</v>
      </c>
      <c r="I100" s="1" t="s">
        <v>19</v>
      </c>
      <c r="J100" s="1">
        <v>734.54360210915809</v>
      </c>
      <c r="K100" s="3">
        <v>36.040297721835898</v>
      </c>
      <c r="L100" s="4">
        <v>0.25577787661114959</v>
      </c>
      <c r="M100" s="3">
        <v>6.5150154200946098</v>
      </c>
      <c r="N100" s="4">
        <v>0.34288763100419523</v>
      </c>
    </row>
    <row r="101" spans="1:14" x14ac:dyDescent="0.25">
      <c r="A101">
        <v>99</v>
      </c>
      <c r="B101" s="3" t="s">
        <v>44</v>
      </c>
      <c r="C101" s="1" t="s">
        <v>25</v>
      </c>
      <c r="D101" s="1" t="s">
        <v>16</v>
      </c>
      <c r="E101" s="1" t="s">
        <v>17</v>
      </c>
      <c r="F101" s="1" t="s">
        <v>11</v>
      </c>
      <c r="G101" s="1" t="s">
        <v>24</v>
      </c>
      <c r="H101" s="1" t="s">
        <v>26</v>
      </c>
      <c r="I101" s="1" t="s">
        <v>27</v>
      </c>
      <c r="J101" s="1">
        <v>504.65458741369969</v>
      </c>
      <c r="K101" s="3">
        <v>25.659829377999021</v>
      </c>
      <c r="L101" s="4">
        <v>0.18251118457953991</v>
      </c>
      <c r="M101" s="3">
        <v>2.9295153551612518</v>
      </c>
      <c r="N101" s="4">
        <v>0.26928534750742977</v>
      </c>
    </row>
  </sheetData>
  <sortState xmlns:xlrd2="http://schemas.microsoft.com/office/spreadsheetml/2017/richdata2" ref="A2:N101">
    <sortCondition ref="B1:B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AB5F-AAEE-4F47-86DA-5282E96EC0D9}">
  <dimension ref="A1:O101"/>
  <sheetViews>
    <sheetView workbookViewId="0">
      <selection activeCell="M7" sqref="M7:O20"/>
    </sheetView>
  </sheetViews>
  <sheetFormatPr defaultRowHeight="15.75" x14ac:dyDescent="0.25"/>
  <cols>
    <col min="1" max="1" width="11.75" bestFit="1" customWidth="1"/>
    <col min="2" max="2" width="15.75" bestFit="1" customWidth="1"/>
    <col min="13" max="13" width="32.125" bestFit="1" customWidth="1"/>
    <col min="14" max="14" width="12.25" bestFit="1" customWidth="1"/>
    <col min="15" max="15" width="15.875" bestFit="1" customWidth="1"/>
  </cols>
  <sheetData>
    <row r="1" spans="1:15" x14ac:dyDescent="0.25">
      <c r="A1" s="22" t="s">
        <v>77</v>
      </c>
      <c r="B1" s="5" t="s">
        <v>78</v>
      </c>
      <c r="D1" t="s">
        <v>79</v>
      </c>
    </row>
    <row r="2" spans="1:15" x14ac:dyDescent="0.25">
      <c r="A2" s="17">
        <v>0.28936177079024888</v>
      </c>
      <c r="B2" s="4">
        <v>0.2012592400781795</v>
      </c>
      <c r="D2" t="s">
        <v>80</v>
      </c>
    </row>
    <row r="3" spans="1:15" x14ac:dyDescent="0.25">
      <c r="A3" s="17">
        <v>0.2207370029864176</v>
      </c>
      <c r="B3" s="4">
        <v>0.28254163489880302</v>
      </c>
    </row>
    <row r="4" spans="1:15" x14ac:dyDescent="0.25">
      <c r="A4" s="17">
        <v>0.25439927348418562</v>
      </c>
      <c r="B4" s="4">
        <v>0.1885460154747382</v>
      </c>
      <c r="M4" s="2" t="s">
        <v>81</v>
      </c>
      <c r="N4" s="2">
        <v>0.05</v>
      </c>
    </row>
    <row r="5" spans="1:15" x14ac:dyDescent="0.25">
      <c r="A5" s="17">
        <v>0.30629010595447159</v>
      </c>
      <c r="B5" s="4">
        <v>0.1191701714644849</v>
      </c>
    </row>
    <row r="6" spans="1:15" x14ac:dyDescent="0.25">
      <c r="A6" s="17">
        <v>0.21021883294682961</v>
      </c>
      <c r="B6" s="4">
        <v>0.1226990216144534</v>
      </c>
      <c r="M6" s="1" t="s">
        <v>82</v>
      </c>
      <c r="N6" s="1"/>
      <c r="O6" s="1"/>
    </row>
    <row r="7" spans="1:15" ht="16.5" thickBot="1" x14ac:dyDescent="0.3">
      <c r="A7" s="17">
        <v>0.29212239699142872</v>
      </c>
      <c r="B7" s="4">
        <v>0.18529426184978609</v>
      </c>
    </row>
    <row r="8" spans="1:15" x14ac:dyDescent="0.25">
      <c r="A8" s="17">
        <v>0.31072854455321491</v>
      </c>
      <c r="B8" s="4">
        <v>0.21503937864762079</v>
      </c>
      <c r="M8" s="8"/>
      <c r="N8" s="8" t="s">
        <v>77</v>
      </c>
      <c r="O8" s="8" t="s">
        <v>78</v>
      </c>
    </row>
    <row r="9" spans="1:15" x14ac:dyDescent="0.25">
      <c r="A9" s="17">
        <v>0.2110494352398164</v>
      </c>
      <c r="B9" s="4">
        <v>0.41531824575115572</v>
      </c>
      <c r="M9" s="21" t="s">
        <v>50</v>
      </c>
      <c r="N9" s="24">
        <v>0.28688021956360599</v>
      </c>
      <c r="O9" s="24">
        <v>0.20712815887865499</v>
      </c>
    </row>
    <row r="10" spans="1:15" x14ac:dyDescent="0.25">
      <c r="A10" s="17">
        <v>0.27918051659162052</v>
      </c>
      <c r="B10" s="4">
        <v>0.1171004989077928</v>
      </c>
      <c r="M10" s="9" t="s">
        <v>66</v>
      </c>
      <c r="N10" s="9">
        <v>3.87744528439975E-3</v>
      </c>
      <c r="O10" s="9">
        <v>9.9798048453960311E-3</v>
      </c>
    </row>
    <row r="11" spans="1:15" x14ac:dyDescent="0.25">
      <c r="A11" s="17">
        <v>0.22284298272060979</v>
      </c>
      <c r="B11" s="4">
        <v>0.1172769056447677</v>
      </c>
      <c r="M11" s="9" t="s">
        <v>67</v>
      </c>
      <c r="N11" s="9">
        <v>100</v>
      </c>
      <c r="O11" s="9">
        <v>100</v>
      </c>
    </row>
    <row r="12" spans="1:15" x14ac:dyDescent="0.25">
      <c r="A12" s="17">
        <v>0.29895452589316301</v>
      </c>
      <c r="B12" s="4">
        <v>7.8581138721226795E-2</v>
      </c>
      <c r="M12" s="9" t="s">
        <v>83</v>
      </c>
      <c r="N12" s="9">
        <v>0.12952239900524098</v>
      </c>
      <c r="O12" s="9"/>
    </row>
    <row r="13" spans="1:15" x14ac:dyDescent="0.25">
      <c r="A13" s="17">
        <v>0.35155019849350672</v>
      </c>
      <c r="B13" s="4">
        <v>0.38761708392158872</v>
      </c>
      <c r="M13" s="9" t="s">
        <v>69</v>
      </c>
      <c r="N13" s="9">
        <v>0</v>
      </c>
      <c r="O13" s="9"/>
    </row>
    <row r="14" spans="1:15" x14ac:dyDescent="0.25">
      <c r="A14" s="17">
        <v>0.25465478640020989</v>
      </c>
      <c r="B14" s="4">
        <v>0.33054788071543301</v>
      </c>
      <c r="M14" s="9" t="s">
        <v>70</v>
      </c>
      <c r="N14" s="9">
        <v>99</v>
      </c>
      <c r="O14" s="9"/>
    </row>
    <row r="15" spans="1:15" x14ac:dyDescent="0.25">
      <c r="A15" s="17">
        <v>0.2680229457328035</v>
      </c>
      <c r="B15" s="4">
        <v>0.29504238381860498</v>
      </c>
      <c r="M15" s="9" t="s">
        <v>71</v>
      </c>
      <c r="N15" s="9">
        <v>7.2068884065830074</v>
      </c>
      <c r="O15" s="9"/>
    </row>
    <row r="16" spans="1:15" x14ac:dyDescent="0.25">
      <c r="A16" s="17">
        <v>0.35719492828615568</v>
      </c>
      <c r="B16" s="4">
        <v>0.2012592400781795</v>
      </c>
      <c r="M16" s="9" t="s">
        <v>72</v>
      </c>
      <c r="N16" s="9">
        <v>5.7416397619062347E-11</v>
      </c>
      <c r="O16" s="9"/>
    </row>
    <row r="17" spans="1:15" x14ac:dyDescent="0.25">
      <c r="A17" s="17">
        <v>0.40987566214717058</v>
      </c>
      <c r="B17" s="4">
        <v>0.28254163489880302</v>
      </c>
      <c r="M17" s="9" t="s">
        <v>73</v>
      </c>
      <c r="N17" s="9">
        <v>1.6603911560169928</v>
      </c>
      <c r="O17" s="9"/>
    </row>
    <row r="18" spans="1:15" x14ac:dyDescent="0.25">
      <c r="A18" s="17">
        <v>0.31830109051492927</v>
      </c>
      <c r="B18" s="4">
        <v>0.1885460154747382</v>
      </c>
      <c r="M18" s="23" t="s">
        <v>74</v>
      </c>
      <c r="N18" s="23">
        <v>1.1483279523812469E-10</v>
      </c>
      <c r="O18" s="9"/>
    </row>
    <row r="19" spans="1:15" ht="16.5" thickBot="1" x14ac:dyDescent="0.3">
      <c r="A19" s="17">
        <v>0.17712869665622341</v>
      </c>
      <c r="B19" s="4">
        <v>0.1191701714644849</v>
      </c>
      <c r="M19" s="10" t="s">
        <v>75</v>
      </c>
      <c r="N19" s="10">
        <v>1.9842169515864165</v>
      </c>
      <c r="O19" s="10"/>
    </row>
    <row r="20" spans="1:15" x14ac:dyDescent="0.25">
      <c r="A20" s="17">
        <v>0.28515499329898969</v>
      </c>
      <c r="B20" s="4">
        <v>0.21503937864762079</v>
      </c>
    </row>
    <row r="21" spans="1:15" x14ac:dyDescent="0.25">
      <c r="A21" s="17">
        <v>0.34135721988956752</v>
      </c>
      <c r="B21" s="4">
        <v>0.41531824575115572</v>
      </c>
    </row>
    <row r="22" spans="1:15" x14ac:dyDescent="0.25">
      <c r="A22" s="17">
        <v>0.25651376000433213</v>
      </c>
      <c r="B22" s="4">
        <v>0.1171004989077928</v>
      </c>
      <c r="M22" t="s">
        <v>84</v>
      </c>
    </row>
    <row r="23" spans="1:15" x14ac:dyDescent="0.25">
      <c r="A23" s="17">
        <v>0.14962905137318741</v>
      </c>
      <c r="B23" s="4">
        <v>0.1172769056447677</v>
      </c>
    </row>
    <row r="24" spans="1:15" x14ac:dyDescent="0.25">
      <c r="A24" s="17">
        <v>0.18294062777081871</v>
      </c>
      <c r="B24" s="4">
        <v>7.8581138721226795E-2</v>
      </c>
    </row>
    <row r="25" spans="1:15" x14ac:dyDescent="0.25">
      <c r="A25" s="17">
        <v>0.27367669906443659</v>
      </c>
      <c r="B25" s="4">
        <v>0.18698569456323161</v>
      </c>
    </row>
    <row r="26" spans="1:15" x14ac:dyDescent="0.25">
      <c r="A26" s="17">
        <v>0.22479924456866621</v>
      </c>
      <c r="B26" s="4">
        <v>0.28576596232020202</v>
      </c>
    </row>
    <row r="27" spans="1:15" x14ac:dyDescent="0.25">
      <c r="A27" s="17">
        <v>0.25128814980901171</v>
      </c>
      <c r="B27" s="4">
        <v>0.29751197334177509</v>
      </c>
    </row>
    <row r="28" spans="1:15" x14ac:dyDescent="0.25">
      <c r="A28" s="17">
        <v>0.34981255561364211</v>
      </c>
      <c r="B28" s="4">
        <v>0.31794401207212869</v>
      </c>
    </row>
    <row r="29" spans="1:15" x14ac:dyDescent="0.25">
      <c r="A29" s="17">
        <v>0.27568709704055427</v>
      </c>
      <c r="B29" s="4">
        <v>0.28723206367206783</v>
      </c>
    </row>
    <row r="30" spans="1:15" x14ac:dyDescent="0.25">
      <c r="A30" s="17">
        <v>0.2910865626887707</v>
      </c>
      <c r="B30" s="4">
        <v>0.31581108735000679</v>
      </c>
    </row>
    <row r="31" spans="1:15" x14ac:dyDescent="0.25">
      <c r="A31" s="17">
        <v>0.25301998160958439</v>
      </c>
      <c r="B31" s="4">
        <v>0.11817793167665271</v>
      </c>
    </row>
    <row r="32" spans="1:15" x14ac:dyDescent="0.25">
      <c r="A32" s="17">
        <v>0.28087418717400608</v>
      </c>
      <c r="B32" s="4">
        <v>1.86865470909123E-2</v>
      </c>
    </row>
    <row r="33" spans="1:2" x14ac:dyDescent="0.25">
      <c r="A33" s="17">
        <v>0.29589157319362352</v>
      </c>
      <c r="B33" s="4">
        <v>0.18912398515431431</v>
      </c>
    </row>
    <row r="34" spans="1:2" x14ac:dyDescent="0.25">
      <c r="A34" s="17">
        <v>0.3561087509382424</v>
      </c>
      <c r="B34" s="4">
        <v>5.5191565850267597E-2</v>
      </c>
    </row>
    <row r="35" spans="1:2" x14ac:dyDescent="0.25">
      <c r="A35" s="17">
        <v>0.37607345777717149</v>
      </c>
      <c r="B35" s="4">
        <v>0.17865528482881529</v>
      </c>
    </row>
    <row r="36" spans="1:2" x14ac:dyDescent="0.25">
      <c r="A36" s="17">
        <v>0.18955232651186979</v>
      </c>
      <c r="B36" s="4">
        <v>0.28254163489880302</v>
      </c>
    </row>
    <row r="37" spans="1:2" x14ac:dyDescent="0.25">
      <c r="A37" s="17">
        <v>0.28130963365436612</v>
      </c>
      <c r="B37" s="4">
        <v>0.1885460154747382</v>
      </c>
    </row>
    <row r="38" spans="1:2" x14ac:dyDescent="0.25">
      <c r="A38" s="17">
        <v>0.24905707173957051</v>
      </c>
      <c r="B38" s="4">
        <v>0.1191701714644849</v>
      </c>
    </row>
    <row r="39" spans="1:2" x14ac:dyDescent="0.25">
      <c r="A39" s="17">
        <v>0.35867859413871878</v>
      </c>
      <c r="B39" s="4">
        <v>0.1226990216144534</v>
      </c>
    </row>
    <row r="40" spans="1:2" x14ac:dyDescent="0.25">
      <c r="A40" s="17">
        <v>0.32331029713287818</v>
      </c>
      <c r="B40" s="4">
        <v>0.18529426184978609</v>
      </c>
    </row>
    <row r="41" spans="1:2" x14ac:dyDescent="0.25">
      <c r="A41" s="17">
        <v>0.34656380994048908</v>
      </c>
      <c r="B41" s="4">
        <v>0.21503937864762079</v>
      </c>
    </row>
    <row r="42" spans="1:2" x14ac:dyDescent="0.25">
      <c r="A42" s="17">
        <v>0.41054204530787919</v>
      </c>
      <c r="B42" s="4">
        <v>0.41531824575115572</v>
      </c>
    </row>
    <row r="43" spans="1:2" x14ac:dyDescent="0.25">
      <c r="A43" s="17">
        <v>0.45044823315321392</v>
      </c>
      <c r="B43" s="4">
        <v>0.1171004989077928</v>
      </c>
    </row>
    <row r="44" spans="1:2" x14ac:dyDescent="0.25">
      <c r="A44" s="17">
        <v>0.26813506639730089</v>
      </c>
      <c r="B44" s="4">
        <v>0.1172769056447677</v>
      </c>
    </row>
    <row r="45" spans="1:2" x14ac:dyDescent="0.25">
      <c r="A45" s="17">
        <v>0.23379175927136131</v>
      </c>
      <c r="B45" s="4">
        <v>7.8581138721226795E-2</v>
      </c>
    </row>
    <row r="46" spans="1:2" x14ac:dyDescent="0.25">
      <c r="A46" s="17">
        <v>0.36212322494095361</v>
      </c>
      <c r="B46" s="4">
        <v>0.18698569456323161</v>
      </c>
    </row>
    <row r="47" spans="1:2" x14ac:dyDescent="0.25">
      <c r="A47" s="17">
        <v>0.29718856991396142</v>
      </c>
      <c r="B47" s="4">
        <v>0.28576596232020202</v>
      </c>
    </row>
    <row r="48" spans="1:2" x14ac:dyDescent="0.25">
      <c r="A48" s="17">
        <v>0.28336942798927012</v>
      </c>
      <c r="B48" s="4">
        <v>0.28576596232020202</v>
      </c>
    </row>
    <row r="49" spans="1:2" x14ac:dyDescent="0.25">
      <c r="A49" s="17">
        <v>0.34625154351267551</v>
      </c>
      <c r="B49" s="4">
        <v>0.29751197334177509</v>
      </c>
    </row>
    <row r="50" spans="1:2" x14ac:dyDescent="0.25">
      <c r="A50" s="17">
        <v>0.30257537012267921</v>
      </c>
      <c r="B50" s="4">
        <v>0.31794401207212869</v>
      </c>
    </row>
    <row r="51" spans="1:2" x14ac:dyDescent="0.25">
      <c r="A51" s="17">
        <v>0.25403672103000408</v>
      </c>
      <c r="B51" s="4">
        <v>0.28723206367206783</v>
      </c>
    </row>
    <row r="52" spans="1:2" x14ac:dyDescent="0.25">
      <c r="A52" s="17">
        <v>0.3718495870650842</v>
      </c>
      <c r="B52" s="4">
        <v>0.31581108735000679</v>
      </c>
    </row>
    <row r="53" spans="1:2" x14ac:dyDescent="0.25">
      <c r="A53" s="17">
        <v>0.26525404584659262</v>
      </c>
      <c r="B53" s="4">
        <v>0.11817793167665271</v>
      </c>
    </row>
    <row r="54" spans="1:2" x14ac:dyDescent="0.25">
      <c r="A54" s="17">
        <v>0.28728976709457338</v>
      </c>
      <c r="B54" s="4">
        <v>1.86865470909123E-2</v>
      </c>
    </row>
    <row r="55" spans="1:2" x14ac:dyDescent="0.25">
      <c r="A55" s="17">
        <v>0.35683679596408208</v>
      </c>
      <c r="B55" s="4">
        <v>0.18912398515431431</v>
      </c>
    </row>
    <row r="56" spans="1:2" x14ac:dyDescent="0.25">
      <c r="A56" s="17">
        <v>0.24060566113363149</v>
      </c>
      <c r="B56" s="4">
        <v>5.5191565850267597E-2</v>
      </c>
    </row>
    <row r="57" spans="1:2" x14ac:dyDescent="0.25">
      <c r="A57" s="17">
        <v>0.39777191437161191</v>
      </c>
      <c r="B57" s="4">
        <v>0.17865528482881529</v>
      </c>
    </row>
    <row r="58" spans="1:2" x14ac:dyDescent="0.25">
      <c r="A58" s="17">
        <v>0.33006229745372762</v>
      </c>
      <c r="B58" s="4">
        <v>0.34511436077950419</v>
      </c>
    </row>
    <row r="59" spans="1:2" x14ac:dyDescent="0.25">
      <c r="A59" s="17">
        <v>0.27643788341618669</v>
      </c>
      <c r="B59" s="4">
        <v>0.22320499373576361</v>
      </c>
    </row>
    <row r="60" spans="1:2" x14ac:dyDescent="0.25">
      <c r="A60" s="17">
        <v>0.2743413460545816</v>
      </c>
      <c r="B60" s="4">
        <v>0.22436872114919121</v>
      </c>
    </row>
    <row r="61" spans="1:2" x14ac:dyDescent="0.25">
      <c r="A61" s="17">
        <v>0.34042130162395873</v>
      </c>
      <c r="B61" s="4">
        <v>0.33538723741654131</v>
      </c>
    </row>
    <row r="62" spans="1:2" x14ac:dyDescent="0.25">
      <c r="A62" s="17">
        <v>0.19223505408993111</v>
      </c>
      <c r="B62" s="4">
        <v>0.17978073475661061</v>
      </c>
    </row>
    <row r="63" spans="1:2" x14ac:dyDescent="0.25">
      <c r="A63" s="17">
        <v>0.32266433225341751</v>
      </c>
      <c r="B63" s="4">
        <v>7.8581138721226795E-2</v>
      </c>
    </row>
    <row r="64" spans="1:2" x14ac:dyDescent="0.25">
      <c r="A64" s="17">
        <v>0.18679294537118299</v>
      </c>
      <c r="B64" s="4">
        <v>0.18698569456323161</v>
      </c>
    </row>
    <row r="65" spans="1:2" x14ac:dyDescent="0.25">
      <c r="A65" s="17">
        <v>0.31044692368482418</v>
      </c>
      <c r="B65" s="4">
        <v>0.28576596232020202</v>
      </c>
    </row>
    <row r="66" spans="1:2" x14ac:dyDescent="0.25">
      <c r="A66" s="17">
        <v>0.25202637409654721</v>
      </c>
      <c r="B66" s="4">
        <v>0.29751197334177509</v>
      </c>
    </row>
    <row r="67" spans="1:2" x14ac:dyDescent="0.25">
      <c r="A67" s="17">
        <v>0.37123395995440062</v>
      </c>
      <c r="B67" s="4">
        <v>0.31794401207212869</v>
      </c>
    </row>
    <row r="68" spans="1:2" x14ac:dyDescent="0.25">
      <c r="A68" s="17">
        <v>0.33292245175206381</v>
      </c>
      <c r="B68" s="4">
        <v>0.28723206367206783</v>
      </c>
    </row>
    <row r="69" spans="1:2" x14ac:dyDescent="0.25">
      <c r="A69" s="17">
        <v>0.32581869835967092</v>
      </c>
      <c r="B69" s="4">
        <v>0.31581108735000679</v>
      </c>
    </row>
    <row r="70" spans="1:2" x14ac:dyDescent="0.25">
      <c r="A70" s="17">
        <v>0.30329966544333942</v>
      </c>
      <c r="B70" s="4">
        <v>0.11817793167665271</v>
      </c>
    </row>
    <row r="71" spans="1:2" x14ac:dyDescent="0.25">
      <c r="A71" s="17">
        <v>0.20414723507989471</v>
      </c>
      <c r="B71" s="4">
        <v>1.86865470909123E-2</v>
      </c>
    </row>
    <row r="72" spans="1:2" x14ac:dyDescent="0.25">
      <c r="A72" s="17">
        <v>0.28948886558907888</v>
      </c>
      <c r="B72" s="4">
        <v>0.18912398515431431</v>
      </c>
    </row>
    <row r="73" spans="1:2" x14ac:dyDescent="0.25">
      <c r="A73" s="17">
        <v>0.28054417581680913</v>
      </c>
      <c r="B73" s="4">
        <v>5.5191565850267597E-2</v>
      </c>
    </row>
    <row r="74" spans="1:2" x14ac:dyDescent="0.25">
      <c r="A74" s="17">
        <v>0.29284631491392171</v>
      </c>
      <c r="B74" s="4">
        <v>0.17865528482881529</v>
      </c>
    </row>
    <row r="75" spans="1:2" x14ac:dyDescent="0.25">
      <c r="A75" s="17">
        <v>0.20187766616909419</v>
      </c>
      <c r="B75" s="4">
        <v>0.34511436077950419</v>
      </c>
    </row>
    <row r="76" spans="1:2" x14ac:dyDescent="0.25">
      <c r="A76" s="17">
        <v>0.2248782794162171</v>
      </c>
      <c r="B76" s="4">
        <v>0.22320499373576361</v>
      </c>
    </row>
    <row r="77" spans="1:2" x14ac:dyDescent="0.25">
      <c r="A77" s="17">
        <v>0.22107462398711211</v>
      </c>
      <c r="B77" s="4">
        <v>0.22436872114919121</v>
      </c>
    </row>
    <row r="78" spans="1:2" x14ac:dyDescent="0.25">
      <c r="A78" s="17">
        <v>0.19529177275776979</v>
      </c>
      <c r="B78" s="4">
        <v>0.2012592400781795</v>
      </c>
    </row>
    <row r="79" spans="1:2" x14ac:dyDescent="0.25">
      <c r="A79" s="17">
        <v>0.25414415926475448</v>
      </c>
      <c r="B79" s="4">
        <v>0.28254163489880302</v>
      </c>
    </row>
    <row r="80" spans="1:2" x14ac:dyDescent="0.25">
      <c r="A80" s="17">
        <v>0.41063671974599147</v>
      </c>
      <c r="B80" s="4">
        <v>0.1885460154747382</v>
      </c>
    </row>
    <row r="81" spans="1:2" x14ac:dyDescent="0.25">
      <c r="A81" s="17">
        <v>0.33781935185684459</v>
      </c>
      <c r="B81" s="4">
        <v>0.1191701714644849</v>
      </c>
    </row>
    <row r="82" spans="1:2" x14ac:dyDescent="0.25">
      <c r="A82" s="17">
        <v>0.28215109754040218</v>
      </c>
      <c r="B82" s="4">
        <v>0.1226990216144534</v>
      </c>
    </row>
    <row r="83" spans="1:2" x14ac:dyDescent="0.25">
      <c r="A83" s="17">
        <v>0.28620642158906862</v>
      </c>
      <c r="B83" s="4">
        <v>0.18529426184978609</v>
      </c>
    </row>
    <row r="84" spans="1:2" x14ac:dyDescent="0.25">
      <c r="A84" s="17">
        <v>0.31094851703248888</v>
      </c>
      <c r="B84" s="4">
        <v>0.21503937864762079</v>
      </c>
    </row>
    <row r="85" spans="1:2" x14ac:dyDescent="0.25">
      <c r="A85" s="17">
        <v>0.36288404833129961</v>
      </c>
      <c r="B85" s="4">
        <v>0.41531824575115572</v>
      </c>
    </row>
    <row r="86" spans="1:2" x14ac:dyDescent="0.25">
      <c r="A86" s="17">
        <v>0.39096878987349809</v>
      </c>
      <c r="B86" s="4">
        <v>0.1171004989077928</v>
      </c>
    </row>
    <row r="87" spans="1:2" x14ac:dyDescent="0.25">
      <c r="A87" s="17">
        <v>0.30025139260575129</v>
      </c>
      <c r="B87" s="4">
        <v>0.1172769056447677</v>
      </c>
    </row>
    <row r="88" spans="1:2" x14ac:dyDescent="0.25">
      <c r="A88" s="17">
        <v>0.31869611368775308</v>
      </c>
      <c r="B88" s="4">
        <v>7.8581138721226795E-2</v>
      </c>
    </row>
    <row r="89" spans="1:2" x14ac:dyDescent="0.25">
      <c r="A89" s="17">
        <v>0.34442553880212762</v>
      </c>
      <c r="B89" s="4">
        <v>0.18698569456323161</v>
      </c>
    </row>
    <row r="90" spans="1:2" x14ac:dyDescent="0.25">
      <c r="A90" s="17">
        <v>0.21289820988431221</v>
      </c>
      <c r="B90" s="4">
        <v>0.28576596232020202</v>
      </c>
    </row>
    <row r="91" spans="1:2" x14ac:dyDescent="0.25">
      <c r="A91" s="17">
        <v>0.27060515784716049</v>
      </c>
      <c r="B91" s="4">
        <v>0.29751197334177509</v>
      </c>
    </row>
    <row r="92" spans="1:2" x14ac:dyDescent="0.25">
      <c r="A92" s="17">
        <v>0.33856809984859187</v>
      </c>
      <c r="B92" s="4">
        <v>0.31794401207212869</v>
      </c>
    </row>
    <row r="93" spans="1:2" x14ac:dyDescent="0.25">
      <c r="A93" s="17">
        <v>0.21906150646039199</v>
      </c>
      <c r="B93" s="4">
        <v>0.28723206367206783</v>
      </c>
    </row>
    <row r="94" spans="1:2" x14ac:dyDescent="0.25">
      <c r="A94" s="17">
        <v>0.24923385254589181</v>
      </c>
      <c r="B94" s="4">
        <v>0.31581108735000679</v>
      </c>
    </row>
    <row r="95" spans="1:2" x14ac:dyDescent="0.25">
      <c r="A95" s="17">
        <v>0.23429928415438989</v>
      </c>
      <c r="B95" s="4">
        <v>0.11817793167665271</v>
      </c>
    </row>
    <row r="96" spans="1:2" x14ac:dyDescent="0.25">
      <c r="A96" s="17">
        <v>0.26977427974324081</v>
      </c>
      <c r="B96" s="4">
        <v>1.86865470909123E-2</v>
      </c>
    </row>
    <row r="97" spans="1:2" x14ac:dyDescent="0.25">
      <c r="A97" s="17">
        <v>0.1227218508002173</v>
      </c>
      <c r="B97" s="4">
        <v>0.18912398515431431</v>
      </c>
    </row>
    <row r="98" spans="1:2" x14ac:dyDescent="0.25">
      <c r="A98" s="17">
        <v>0.34288763100419523</v>
      </c>
      <c r="B98" s="4">
        <v>5.5191565850267597E-2</v>
      </c>
    </row>
    <row r="99" spans="1:2" x14ac:dyDescent="0.25">
      <c r="A99" s="17">
        <v>0.24580046742972819</v>
      </c>
      <c r="B99" s="4">
        <v>0.17865528482881529</v>
      </c>
    </row>
    <row r="100" spans="1:2" x14ac:dyDescent="0.25">
      <c r="A100" s="17">
        <v>0.26928534750742977</v>
      </c>
      <c r="B100" s="4">
        <v>0.34511436077950419</v>
      </c>
    </row>
    <row r="101" spans="1:2" x14ac:dyDescent="0.25">
      <c r="A101" s="17">
        <v>0.23183287709095979</v>
      </c>
      <c r="B101" s="4">
        <v>0.22320499373576361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7370-B649-49EB-ACFE-A537A248FE23}">
  <dimension ref="A1:U101"/>
  <sheetViews>
    <sheetView topLeftCell="F1" workbookViewId="0">
      <selection activeCell="J23" sqref="J23"/>
    </sheetView>
  </sheetViews>
  <sheetFormatPr defaultRowHeight="15.75" x14ac:dyDescent="0.25"/>
  <cols>
    <col min="11" max="11" width="12.25" bestFit="1" customWidth="1"/>
    <col min="12" max="12" width="14.5" bestFit="1" customWidth="1"/>
    <col min="13" max="14" width="15.25" bestFit="1" customWidth="1"/>
    <col min="15" max="15" width="18" bestFit="1" customWidth="1"/>
    <col min="16" max="16" width="11.5" bestFit="1" customWidth="1"/>
    <col min="17" max="20" width="8.875" bestFit="1" customWidth="1"/>
    <col min="21" max="21" width="5.625" bestFit="1" customWidth="1"/>
  </cols>
  <sheetData>
    <row r="1" spans="1:21" x14ac:dyDescent="0.25">
      <c r="A1" s="5" t="str">
        <f>[1]Data!F1</f>
        <v>Region</v>
      </c>
      <c r="B1" s="5" t="str">
        <f>[1]Data!J1</f>
        <v>Sales</v>
      </c>
    </row>
    <row r="2" spans="1:21" x14ac:dyDescent="0.25">
      <c r="A2" s="1" t="str">
        <f>[1]Data!F5</f>
        <v>East</v>
      </c>
      <c r="B2" s="1">
        <f>[1]Data!J5</f>
        <v>610.02358125508351</v>
      </c>
      <c r="D2" t="s">
        <v>85</v>
      </c>
      <c r="O2" s="1" t="s">
        <v>93</v>
      </c>
      <c r="P2" s="1"/>
      <c r="Q2" s="1"/>
      <c r="R2" s="1"/>
      <c r="S2" s="1"/>
      <c r="T2" s="1"/>
      <c r="U2" s="1"/>
    </row>
    <row r="3" spans="1:21" x14ac:dyDescent="0.25">
      <c r="A3" s="1" t="str">
        <f>[1]Data!F6</f>
        <v>East</v>
      </c>
      <c r="B3" s="1">
        <f>[1]Data!J6</f>
        <v>364.7761269469521</v>
      </c>
      <c r="O3" s="1"/>
      <c r="P3" s="1"/>
      <c r="Q3" s="1"/>
      <c r="R3" s="1"/>
      <c r="S3" s="1"/>
      <c r="T3" s="1"/>
      <c r="U3" s="1"/>
    </row>
    <row r="4" spans="1:21" ht="16.5" thickBot="1" x14ac:dyDescent="0.3">
      <c r="A4" s="1" t="str">
        <f>[1]Data!F7</f>
        <v>East</v>
      </c>
      <c r="B4" s="1">
        <f>[1]Data!J7</f>
        <v>576.61392133806294</v>
      </c>
      <c r="K4" s="25" t="s">
        <v>86</v>
      </c>
      <c r="L4" t="s">
        <v>88</v>
      </c>
      <c r="O4" s="1" t="s">
        <v>94</v>
      </c>
      <c r="P4" s="1"/>
      <c r="Q4" s="1"/>
      <c r="R4" s="1"/>
      <c r="S4" s="1"/>
      <c r="T4" s="1"/>
      <c r="U4" s="1"/>
    </row>
    <row r="5" spans="1:21" x14ac:dyDescent="0.25">
      <c r="A5" s="1" t="str">
        <f>[1]Data!F9</f>
        <v>East</v>
      </c>
      <c r="B5" s="1">
        <f>[1]Data!J9</f>
        <v>372.90517238163818</v>
      </c>
      <c r="K5" s="26" t="s">
        <v>18</v>
      </c>
      <c r="L5" s="27">
        <v>23</v>
      </c>
      <c r="O5" s="8" t="s">
        <v>95</v>
      </c>
      <c r="P5" s="8" t="s">
        <v>62</v>
      </c>
      <c r="Q5" s="8" t="s">
        <v>61</v>
      </c>
      <c r="R5" s="28" t="s">
        <v>96</v>
      </c>
      <c r="S5" s="8" t="s">
        <v>66</v>
      </c>
      <c r="T5" s="1"/>
      <c r="U5" s="1"/>
    </row>
    <row r="6" spans="1:21" x14ac:dyDescent="0.25">
      <c r="A6" s="1" t="str">
        <f>[1]Data!F12</f>
        <v>East</v>
      </c>
      <c r="B6" s="1">
        <f>[1]Data!J12</f>
        <v>600.05114910613997</v>
      </c>
      <c r="K6" s="26" t="s">
        <v>23</v>
      </c>
      <c r="L6" s="27">
        <v>29</v>
      </c>
      <c r="O6" s="9" t="s">
        <v>89</v>
      </c>
      <c r="P6" s="9">
        <v>23</v>
      </c>
      <c r="Q6" s="9">
        <v>11456.662179732619</v>
      </c>
      <c r="R6" s="23">
        <v>498.11574694489644</v>
      </c>
      <c r="S6" s="9">
        <v>17935.218805582728</v>
      </c>
      <c r="T6" s="1"/>
      <c r="U6" s="1"/>
    </row>
    <row r="7" spans="1:21" x14ac:dyDescent="0.25">
      <c r="A7" s="1" t="str">
        <f>[1]Data!F17</f>
        <v>East</v>
      </c>
      <c r="B7" s="1">
        <f>[1]Data!J17</f>
        <v>610.02358125508351</v>
      </c>
      <c r="K7" s="26" t="s">
        <v>11</v>
      </c>
      <c r="L7" s="27">
        <v>29</v>
      </c>
      <c r="O7" s="9" t="s">
        <v>90</v>
      </c>
      <c r="P7" s="9">
        <v>29</v>
      </c>
      <c r="Q7" s="9">
        <v>15231.223810548161</v>
      </c>
      <c r="R7" s="23">
        <v>525.21461415683314</v>
      </c>
      <c r="S7" s="9">
        <v>19954.872159603117</v>
      </c>
      <c r="T7" s="1"/>
      <c r="U7" s="1"/>
    </row>
    <row r="8" spans="1:21" x14ac:dyDescent="0.25">
      <c r="A8" s="1" t="str">
        <f>[1]Data!F26</f>
        <v>East</v>
      </c>
      <c r="B8" s="1">
        <f>[1]Data!J26</f>
        <v>415.68001582094871</v>
      </c>
      <c r="K8" s="26" t="s">
        <v>35</v>
      </c>
      <c r="L8" s="27">
        <v>19</v>
      </c>
      <c r="O8" s="9" t="s">
        <v>91</v>
      </c>
      <c r="P8" s="9">
        <v>29</v>
      </c>
      <c r="Q8" s="9">
        <v>16043.291532370929</v>
      </c>
      <c r="R8" s="23">
        <v>553.21694939210101</v>
      </c>
      <c r="S8" s="9">
        <v>28454.570492267474</v>
      </c>
      <c r="T8" s="1"/>
      <c r="U8" s="1"/>
    </row>
    <row r="9" spans="1:21" ht="16.5" thickBot="1" x14ac:dyDescent="0.3">
      <c r="A9" s="1" t="str">
        <f>[1]Data!F31</f>
        <v>East</v>
      </c>
      <c r="B9" s="1">
        <f>[1]Data!J31</f>
        <v>473.55217273725202</v>
      </c>
      <c r="K9" s="26" t="s">
        <v>87</v>
      </c>
      <c r="L9" s="27">
        <v>100</v>
      </c>
      <c r="O9" s="10" t="s">
        <v>92</v>
      </c>
      <c r="P9" s="10">
        <v>19</v>
      </c>
      <c r="Q9" s="10">
        <v>10795.7507358768</v>
      </c>
      <c r="R9" s="29">
        <v>568.19740715141052</v>
      </c>
      <c r="S9" s="10">
        <v>36899.964286999879</v>
      </c>
      <c r="T9" s="1"/>
      <c r="U9" s="1"/>
    </row>
    <row r="10" spans="1:21" x14ac:dyDescent="0.25">
      <c r="A10" s="1" t="str">
        <f>[1]Data!F35</f>
        <v>East</v>
      </c>
      <c r="B10" s="1">
        <f>[1]Data!J35</f>
        <v>830.13369852249514</v>
      </c>
      <c r="O10" s="1"/>
      <c r="P10" s="1"/>
      <c r="Q10" s="1"/>
      <c r="R10" s="1"/>
      <c r="S10" s="1"/>
      <c r="T10" s="1"/>
      <c r="U10" s="1"/>
    </row>
    <row r="11" spans="1:21" x14ac:dyDescent="0.25">
      <c r="A11" s="1" t="str">
        <f>[1]Data!F36</f>
        <v>East</v>
      </c>
      <c r="B11" s="1">
        <f>[1]Data!J36</f>
        <v>307.91532286630729</v>
      </c>
      <c r="O11" s="1"/>
      <c r="P11" s="1"/>
      <c r="Q11" s="1"/>
      <c r="R11" s="1"/>
      <c r="S11" s="1"/>
      <c r="T11" s="1"/>
      <c r="U11" s="1"/>
    </row>
    <row r="12" spans="1:21" ht="16.5" thickBot="1" x14ac:dyDescent="0.3">
      <c r="A12" s="1" t="str">
        <f>[1]Data!F38</f>
        <v>East</v>
      </c>
      <c r="B12" s="1">
        <f>[1]Data!J38</f>
        <v>449.13093283360729</v>
      </c>
      <c r="K12" s="2" t="s">
        <v>89</v>
      </c>
      <c r="L12" s="2" t="s">
        <v>90</v>
      </c>
      <c r="M12" s="2" t="s">
        <v>91</v>
      </c>
      <c r="N12" s="2" t="s">
        <v>92</v>
      </c>
      <c r="O12" s="1" t="s">
        <v>97</v>
      </c>
      <c r="P12" s="1"/>
      <c r="Q12" s="1"/>
      <c r="R12" s="1"/>
      <c r="S12" s="1"/>
      <c r="T12" s="1"/>
      <c r="U12" s="1"/>
    </row>
    <row r="13" spans="1:21" x14ac:dyDescent="0.25">
      <c r="A13" s="1" t="str">
        <f>[1]Data!F46</f>
        <v>East</v>
      </c>
      <c r="B13" s="1">
        <f>[1]Data!J46</f>
        <v>291.05760965024848</v>
      </c>
      <c r="K13" s="1">
        <v>610.02358125508351</v>
      </c>
      <c r="L13" s="1">
        <v>449.13093283360729</v>
      </c>
      <c r="M13" s="1">
        <v>619.41733832886609</v>
      </c>
      <c r="N13" s="1">
        <v>886.1339798802187</v>
      </c>
      <c r="O13" s="8" t="s">
        <v>98</v>
      </c>
      <c r="P13" s="8" t="s">
        <v>99</v>
      </c>
      <c r="Q13" s="8" t="s">
        <v>70</v>
      </c>
      <c r="R13" s="8" t="s">
        <v>100</v>
      </c>
      <c r="S13" s="8" t="s">
        <v>101</v>
      </c>
      <c r="T13" s="8" t="s">
        <v>102</v>
      </c>
      <c r="U13" s="8" t="s">
        <v>103</v>
      </c>
    </row>
    <row r="14" spans="1:21" x14ac:dyDescent="0.25">
      <c r="A14" s="1" t="str">
        <f>[1]Data!F50</f>
        <v>East</v>
      </c>
      <c r="B14" s="1">
        <f>[1]Data!J50</f>
        <v>606.72437794032601</v>
      </c>
      <c r="K14" s="1">
        <v>364.7761269469521</v>
      </c>
      <c r="L14" s="1">
        <v>545.77266574920179</v>
      </c>
      <c r="M14" s="1">
        <v>449.13093283360729</v>
      </c>
      <c r="N14" s="1">
        <v>726.81693567394757</v>
      </c>
      <c r="O14" s="9" t="s">
        <v>104</v>
      </c>
      <c r="P14" s="9">
        <v>64623.064134203829</v>
      </c>
      <c r="Q14" s="9">
        <v>3</v>
      </c>
      <c r="R14" s="9">
        <v>21541.021378067944</v>
      </c>
      <c r="S14" s="9">
        <v>0.85655911646560301</v>
      </c>
      <c r="T14" s="21">
        <v>0.46649917131930252</v>
      </c>
      <c r="U14" s="9">
        <v>2.6993925975521802</v>
      </c>
    </row>
    <row r="15" spans="1:21" x14ac:dyDescent="0.25">
      <c r="A15" s="1" t="str">
        <f>[1]Data!F51</f>
        <v>East</v>
      </c>
      <c r="B15" s="1">
        <f>[1]Data!J51</f>
        <v>484.28885475832197</v>
      </c>
      <c r="K15" s="1">
        <v>576.61392133806294</v>
      </c>
      <c r="L15" s="1">
        <v>413.90524534251369</v>
      </c>
      <c r="M15" s="1">
        <v>696.81069761586082</v>
      </c>
      <c r="N15" s="1">
        <v>497.81317760107709</v>
      </c>
      <c r="O15" s="9" t="s">
        <v>105</v>
      </c>
      <c r="P15" s="9">
        <v>2414238.5651411898</v>
      </c>
      <c r="Q15" s="9">
        <v>96</v>
      </c>
      <c r="R15" s="9">
        <v>25148.318386887393</v>
      </c>
      <c r="S15" s="9"/>
      <c r="T15" s="9"/>
      <c r="U15" s="9"/>
    </row>
    <row r="16" spans="1:21" x14ac:dyDescent="0.25">
      <c r="A16" s="1" t="str">
        <f>[1]Data!F61</f>
        <v>East</v>
      </c>
      <c r="B16" s="1">
        <f>[1]Data!J61</f>
        <v>504.65458741369969</v>
      </c>
      <c r="K16" s="1">
        <v>372.90517238163818</v>
      </c>
      <c r="L16" s="1">
        <v>491.90097738880718</v>
      </c>
      <c r="M16" s="1">
        <v>252.880529766411</v>
      </c>
      <c r="N16" s="1">
        <v>734.54360210915809</v>
      </c>
      <c r="O16" s="9"/>
      <c r="P16" s="9"/>
      <c r="Q16" s="9"/>
      <c r="R16" s="9"/>
      <c r="S16" s="9"/>
      <c r="T16" s="9"/>
      <c r="U16" s="9"/>
    </row>
    <row r="17" spans="1:21" ht="16.5" thickBot="1" x14ac:dyDescent="0.3">
      <c r="A17" s="1" t="str">
        <f>[1]Data!F62</f>
        <v>East</v>
      </c>
      <c r="B17" s="1">
        <f>[1]Data!J62</f>
        <v>319.56344705841639</v>
      </c>
      <c r="K17" s="1">
        <v>600.05114910613997</v>
      </c>
      <c r="L17" s="1">
        <v>614.24978057956264</v>
      </c>
      <c r="M17" s="1">
        <v>521.92242249612491</v>
      </c>
      <c r="N17" s="1">
        <v>720.91010268149512</v>
      </c>
      <c r="O17" s="10" t="s">
        <v>106</v>
      </c>
      <c r="P17" s="10">
        <v>2478861.6292753937</v>
      </c>
      <c r="Q17" s="10">
        <v>99</v>
      </c>
      <c r="R17" s="10"/>
      <c r="S17" s="10"/>
      <c r="T17" s="10"/>
      <c r="U17" s="10"/>
    </row>
    <row r="18" spans="1:21" x14ac:dyDescent="0.25">
      <c r="A18" s="1" t="str">
        <f>[1]Data!F63</f>
        <v>East</v>
      </c>
      <c r="B18" s="1">
        <f>[1]Data!J63</f>
        <v>619.41733832886609</v>
      </c>
      <c r="K18" s="1">
        <v>610.02358125508351</v>
      </c>
      <c r="L18" s="1">
        <v>291.05760965024848</v>
      </c>
      <c r="M18" s="1">
        <v>463.17255028533771</v>
      </c>
      <c r="N18" s="1">
        <v>610.02358125508351</v>
      </c>
    </row>
    <row r="19" spans="1:21" x14ac:dyDescent="0.25">
      <c r="A19" s="1" t="str">
        <f>[1]Data!F65</f>
        <v>East</v>
      </c>
      <c r="B19" s="1">
        <f>[1]Data!J65</f>
        <v>521.92242249612491</v>
      </c>
      <c r="K19" s="1">
        <v>415.68001582094871</v>
      </c>
      <c r="L19" s="1">
        <v>551.57500310812304</v>
      </c>
      <c r="M19" s="1">
        <v>573.45234536559701</v>
      </c>
      <c r="N19" s="1">
        <v>890.46319359814106</v>
      </c>
    </row>
    <row r="20" spans="1:21" x14ac:dyDescent="0.25">
      <c r="A20" s="1" t="str">
        <f>[1]Data!F67</f>
        <v>East</v>
      </c>
      <c r="B20" s="1">
        <f>[1]Data!J67</f>
        <v>619.41733832886609</v>
      </c>
      <c r="K20" s="1">
        <v>473.55217273725202</v>
      </c>
      <c r="L20" s="1">
        <v>495.58882510192927</v>
      </c>
      <c r="M20" s="1">
        <v>545.77266574920179</v>
      </c>
      <c r="N20" s="1">
        <v>421.88563910474119</v>
      </c>
    </row>
    <row r="21" spans="1:21" x14ac:dyDescent="0.25">
      <c r="A21" s="1" t="str">
        <f>[1]Data!F75</f>
        <v>East</v>
      </c>
      <c r="B21" s="1">
        <f>[1]Data!J75</f>
        <v>551.57500310812304</v>
      </c>
      <c r="K21" s="1">
        <v>830.13369852249514</v>
      </c>
      <c r="L21" s="1">
        <v>294.05947140624812</v>
      </c>
      <c r="M21" s="1">
        <v>375.22752388249648</v>
      </c>
      <c r="N21" s="1">
        <v>559.97758335747517</v>
      </c>
    </row>
    <row r="22" spans="1:21" x14ac:dyDescent="0.25">
      <c r="A22" s="1" t="str">
        <f>[1]Data!F88</f>
        <v>East</v>
      </c>
      <c r="B22" s="1">
        <f>[1]Data!J88</f>
        <v>518.08895796790466</v>
      </c>
      <c r="K22" s="1">
        <v>307.91532286630729</v>
      </c>
      <c r="L22" s="1">
        <v>830.13369852249514</v>
      </c>
      <c r="M22" s="1">
        <v>708.1677590396705</v>
      </c>
      <c r="N22" s="1">
        <v>305.47024795509333</v>
      </c>
      <c r="P22" t="s">
        <v>113</v>
      </c>
    </row>
    <row r="23" spans="1:21" x14ac:dyDescent="0.25">
      <c r="A23" s="1" t="str">
        <f>[1]Data!F92</f>
        <v>East</v>
      </c>
      <c r="B23" s="1">
        <f>[1]Data!J92</f>
        <v>291.05760965024848</v>
      </c>
      <c r="K23" s="1">
        <v>449.13093283360729</v>
      </c>
      <c r="L23" s="1">
        <v>557.79180936942089</v>
      </c>
      <c r="M23" s="1">
        <v>503.2671201808941</v>
      </c>
      <c r="N23" s="1">
        <v>659.36358432663053</v>
      </c>
      <c r="P23" t="s">
        <v>89</v>
      </c>
      <c r="Q23" s="1">
        <f>AVERAGE(K13:K35)</f>
        <v>498.11574694489644</v>
      </c>
    </row>
    <row r="24" spans="1:21" x14ac:dyDescent="0.25">
      <c r="A24" s="1" t="str">
        <f>[1]Data!F96</f>
        <v>East</v>
      </c>
      <c r="B24" s="1">
        <f>[1]Data!J96</f>
        <v>518.08895796790466</v>
      </c>
      <c r="K24" s="1">
        <v>291.05760965024848</v>
      </c>
      <c r="L24" s="1">
        <v>734.54360210915809</v>
      </c>
      <c r="M24" s="1">
        <v>696.81069761586082</v>
      </c>
      <c r="N24" s="1">
        <v>581.24124671152902</v>
      </c>
      <c r="P24" t="s">
        <v>90</v>
      </c>
      <c r="Q24" s="1">
        <f>AVERAGE(L13:L41)</f>
        <v>525.21461415683314</v>
      </c>
    </row>
    <row r="25" spans="1:21" x14ac:dyDescent="0.25">
      <c r="A25" s="1" t="str">
        <f>[1]Data!F8</f>
        <v>North</v>
      </c>
      <c r="B25" s="1">
        <f>[1]Data!J8</f>
        <v>449.13093283360729</v>
      </c>
      <c r="K25" s="1">
        <v>606.72437794032601</v>
      </c>
      <c r="L25" s="1">
        <v>252.880529766411</v>
      </c>
      <c r="M25" s="1">
        <v>504.65458741369969</v>
      </c>
      <c r="N25" s="1">
        <v>252.880529766411</v>
      </c>
      <c r="P25" t="s">
        <v>91</v>
      </c>
      <c r="Q25" s="1">
        <f>AVERAGE(M13:M41)</f>
        <v>553.21694939210101</v>
      </c>
    </row>
    <row r="26" spans="1:21" x14ac:dyDescent="0.25">
      <c r="A26" s="1" t="str">
        <f>[1]Data!F10</f>
        <v>North</v>
      </c>
      <c r="B26" s="1">
        <f>[1]Data!J10</f>
        <v>545.77266574920179</v>
      </c>
      <c r="K26" s="1">
        <v>484.28885475832197</v>
      </c>
      <c r="L26" s="1">
        <v>447.27848635895299</v>
      </c>
      <c r="M26" s="1">
        <v>523.01127462814736</v>
      </c>
      <c r="N26" s="1">
        <v>773.23782906934002</v>
      </c>
      <c r="P26" t="s">
        <v>92</v>
      </c>
      <c r="Q26" s="1">
        <f>AVERAGE(N13:N31)</f>
        <v>568.19740715141052</v>
      </c>
    </row>
    <row r="27" spans="1:21" x14ac:dyDescent="0.25">
      <c r="A27" s="1" t="str">
        <f>[1]Data!F11</f>
        <v>North</v>
      </c>
      <c r="B27" s="1">
        <f>[1]Data!J11</f>
        <v>413.90524534251369</v>
      </c>
      <c r="K27" s="1">
        <v>504.65458741369969</v>
      </c>
      <c r="L27" s="1">
        <v>596.96015524763516</v>
      </c>
      <c r="M27" s="1">
        <v>438.67524693903368</v>
      </c>
      <c r="N27" s="1">
        <v>603.45495957616026</v>
      </c>
    </row>
    <row r="28" spans="1:21" x14ac:dyDescent="0.25">
      <c r="A28" s="1" t="str">
        <f>[1]Data!F14</f>
        <v>North</v>
      </c>
      <c r="B28" s="1">
        <f>[1]Data!J14</f>
        <v>491.90097738880718</v>
      </c>
      <c r="K28" s="1">
        <v>319.56344705841639</v>
      </c>
      <c r="L28" s="1">
        <v>496.06702576891882</v>
      </c>
      <c r="M28" s="1">
        <v>830.13369852249514</v>
      </c>
      <c r="N28" s="1">
        <v>307.91532286630729</v>
      </c>
    </row>
    <row r="29" spans="1:21" x14ac:dyDescent="0.25">
      <c r="A29" s="1" t="str">
        <f>[1]Data!F18</f>
        <v>North</v>
      </c>
      <c r="B29" s="1">
        <f>[1]Data!J18</f>
        <v>614.24978057956264</v>
      </c>
      <c r="K29" s="1">
        <v>619.41733832886609</v>
      </c>
      <c r="L29" s="1">
        <v>569.036813905543</v>
      </c>
      <c r="M29" s="1">
        <v>497.81317760107709</v>
      </c>
      <c r="N29" s="1">
        <v>389.38710677341862</v>
      </c>
    </row>
    <row r="30" spans="1:21" x14ac:dyDescent="0.25">
      <c r="A30" s="1" t="str">
        <f>[1]Data!F19</f>
        <v>North</v>
      </c>
      <c r="B30" s="1">
        <f>[1]Data!J19</f>
        <v>291.05760965024848</v>
      </c>
      <c r="K30" s="1">
        <v>521.92242249612491</v>
      </c>
      <c r="L30" s="1">
        <v>375.22752388249648</v>
      </c>
      <c r="M30" s="1">
        <v>523.01127462814736</v>
      </c>
      <c r="N30" s="1">
        <v>454.85168594785551</v>
      </c>
    </row>
    <row r="31" spans="1:21" x14ac:dyDescent="0.25">
      <c r="A31" s="1" t="str">
        <f>[1]Data!F21</f>
        <v>North</v>
      </c>
      <c r="B31" s="1">
        <f>[1]Data!J21</f>
        <v>551.57500310812304</v>
      </c>
      <c r="K31" s="1">
        <v>619.41733832886609</v>
      </c>
      <c r="L31" s="1">
        <v>648.04278931605404</v>
      </c>
      <c r="M31" s="1">
        <v>473.37922936466907</v>
      </c>
      <c r="N31" s="1">
        <v>419.38042762271778</v>
      </c>
    </row>
    <row r="32" spans="1:21" x14ac:dyDescent="0.25">
      <c r="A32" s="1" t="str">
        <f>[1]Data!F22</f>
        <v>North</v>
      </c>
      <c r="B32" s="1">
        <f>[1]Data!J22</f>
        <v>495.58882510192927</v>
      </c>
      <c r="K32" s="1">
        <v>551.57500310812304</v>
      </c>
      <c r="L32" s="1">
        <v>573.24211385453748</v>
      </c>
      <c r="M32" s="1">
        <v>608.0353746788893</v>
      </c>
    </row>
    <row r="33" spans="1:13" x14ac:dyDescent="0.25">
      <c r="A33" s="1" t="str">
        <f>[1]Data!F24</f>
        <v>North</v>
      </c>
      <c r="B33" s="1">
        <f>[1]Data!J24</f>
        <v>294.05947140624812</v>
      </c>
      <c r="K33" s="1">
        <v>518.08895796790466</v>
      </c>
      <c r="L33" s="1">
        <v>551.57500310812304</v>
      </c>
      <c r="M33" s="1">
        <v>362.0806959925111</v>
      </c>
    </row>
    <row r="34" spans="1:13" x14ac:dyDescent="0.25">
      <c r="A34" s="1" t="str">
        <f>[1]Data!F29</f>
        <v>North</v>
      </c>
      <c r="B34" s="1">
        <f>[1]Data!J29</f>
        <v>830.13369852249514</v>
      </c>
      <c r="K34" s="1">
        <v>291.05760965024848</v>
      </c>
      <c r="L34" s="1">
        <v>545.77266574920179</v>
      </c>
      <c r="M34" s="1">
        <v>726.81693567394757</v>
      </c>
    </row>
    <row r="35" spans="1:13" x14ac:dyDescent="0.25">
      <c r="A35" s="1" t="str">
        <f>[1]Data!F37</f>
        <v>North</v>
      </c>
      <c r="B35" s="1">
        <f>[1]Data!J37</f>
        <v>557.79180936942089</v>
      </c>
      <c r="K35" s="1">
        <v>518.08895796790466</v>
      </c>
      <c r="L35" s="1">
        <v>403.40831801853841</v>
      </c>
      <c r="M35" s="1">
        <v>886.1339798802187</v>
      </c>
    </row>
    <row r="36" spans="1:13" x14ac:dyDescent="0.25">
      <c r="A36" s="1" t="str">
        <f>[1]Data!F39</f>
        <v>North</v>
      </c>
      <c r="B36" s="1">
        <f>[1]Data!J39</f>
        <v>734.54360210915809</v>
      </c>
      <c r="L36" s="1">
        <v>886.1339798802187</v>
      </c>
      <c r="M36" s="1">
        <v>664.15565877204904</v>
      </c>
    </row>
    <row r="37" spans="1:13" x14ac:dyDescent="0.25">
      <c r="A37" s="1" t="str">
        <f>[1]Data!F40</f>
        <v>North</v>
      </c>
      <c r="B37" s="1">
        <f>[1]Data!J40</f>
        <v>252.880529766411</v>
      </c>
      <c r="L37" s="1">
        <v>558.42480133446179</v>
      </c>
      <c r="M37" s="1">
        <v>817.8805740858752</v>
      </c>
    </row>
    <row r="38" spans="1:13" x14ac:dyDescent="0.25">
      <c r="A38" s="1" t="str">
        <f>[1]Data!F42</f>
        <v>North</v>
      </c>
      <c r="B38" s="1">
        <f>[1]Data!J42</f>
        <v>447.27848635895299</v>
      </c>
      <c r="L38" s="1">
        <v>569.036813905543</v>
      </c>
      <c r="M38" s="1">
        <v>375.22752388249648</v>
      </c>
    </row>
    <row r="39" spans="1:13" x14ac:dyDescent="0.25">
      <c r="A39" s="1" t="str">
        <f>[1]Data!F47</f>
        <v>North</v>
      </c>
      <c r="B39" s="1">
        <f>[1]Data!J47</f>
        <v>596.96015524763516</v>
      </c>
      <c r="L39" s="1">
        <v>519.22626043512992</v>
      </c>
      <c r="M39" s="1">
        <v>167.05152762488819</v>
      </c>
    </row>
    <row r="40" spans="1:13" x14ac:dyDescent="0.25">
      <c r="A40" s="1" t="str">
        <f>[1]Data!F53</f>
        <v>North</v>
      </c>
      <c r="B40" s="1">
        <f>[1]Data!J53</f>
        <v>496.06702576891882</v>
      </c>
      <c r="L40" s="1">
        <v>521.92242249612491</v>
      </c>
      <c r="M40" s="1">
        <v>734.54360210915809</v>
      </c>
    </row>
    <row r="41" spans="1:13" x14ac:dyDescent="0.25">
      <c r="A41" s="1" t="str">
        <f>[1]Data!F54</f>
        <v>North</v>
      </c>
      <c r="B41" s="1">
        <f>[1]Data!J54</f>
        <v>569.036813905543</v>
      </c>
      <c r="L41" s="1">
        <v>447.27848635895299</v>
      </c>
      <c r="M41" s="1">
        <v>504.65458741369969</v>
      </c>
    </row>
    <row r="42" spans="1:13" x14ac:dyDescent="0.25">
      <c r="A42" s="1" t="str">
        <f>[1]Data!F59</f>
        <v>North</v>
      </c>
      <c r="B42" s="1">
        <f>[1]Data!J59</f>
        <v>375.22752388249648</v>
      </c>
    </row>
    <row r="43" spans="1:13" x14ac:dyDescent="0.25">
      <c r="A43" s="1" t="str">
        <f>[1]Data!F69</f>
        <v>North</v>
      </c>
      <c r="B43" s="1">
        <f>[1]Data!J69</f>
        <v>648.04278931605404</v>
      </c>
    </row>
    <row r="44" spans="1:13" x14ac:dyDescent="0.25">
      <c r="A44" s="1" t="str">
        <f>[1]Data!F72</f>
        <v>North</v>
      </c>
      <c r="B44" s="1">
        <f>[1]Data!J72</f>
        <v>573.24211385453748</v>
      </c>
    </row>
    <row r="45" spans="1:13" x14ac:dyDescent="0.25">
      <c r="A45" s="1" t="str">
        <f>[1]Data!F73</f>
        <v>North</v>
      </c>
      <c r="B45" s="1">
        <f>[1]Data!J73</f>
        <v>551.57500310812304</v>
      </c>
    </row>
    <row r="46" spans="1:13" x14ac:dyDescent="0.25">
      <c r="A46" s="1" t="str">
        <f>[1]Data!F76</f>
        <v>North</v>
      </c>
      <c r="B46" s="1">
        <f>[1]Data!J76</f>
        <v>545.77266574920179</v>
      </c>
    </row>
    <row r="47" spans="1:13" x14ac:dyDescent="0.25">
      <c r="A47" s="1" t="str">
        <f>[1]Data!F77</f>
        <v>North</v>
      </c>
      <c r="B47" s="1">
        <f>[1]Data!J77</f>
        <v>403.40831801853841</v>
      </c>
    </row>
    <row r="48" spans="1:13" x14ac:dyDescent="0.25">
      <c r="A48" s="1" t="str">
        <f>[1]Data!F78</f>
        <v>North</v>
      </c>
      <c r="B48" s="1">
        <f>[1]Data!J78</f>
        <v>886.1339798802187</v>
      </c>
    </row>
    <row r="49" spans="1:2" x14ac:dyDescent="0.25">
      <c r="A49" s="1" t="str">
        <f>[1]Data!F82</f>
        <v>North</v>
      </c>
      <c r="B49" s="1">
        <f>[1]Data!J82</f>
        <v>558.42480133446179</v>
      </c>
    </row>
    <row r="50" spans="1:2" x14ac:dyDescent="0.25">
      <c r="A50" s="1" t="str">
        <f>[1]Data!F83</f>
        <v>North</v>
      </c>
      <c r="B50" s="1">
        <f>[1]Data!J83</f>
        <v>569.036813905543</v>
      </c>
    </row>
    <row r="51" spans="1:2" x14ac:dyDescent="0.25">
      <c r="A51" s="1" t="str">
        <f>[1]Data!F91</f>
        <v>North</v>
      </c>
      <c r="B51" s="1">
        <f>[1]Data!J91</f>
        <v>519.22626043512992</v>
      </c>
    </row>
    <row r="52" spans="1:2" x14ac:dyDescent="0.25">
      <c r="A52" s="1" t="str">
        <f>[1]Data!F95</f>
        <v>North</v>
      </c>
      <c r="B52" s="1">
        <f>[1]Data!J95</f>
        <v>521.92242249612491</v>
      </c>
    </row>
    <row r="53" spans="1:2" x14ac:dyDescent="0.25">
      <c r="A53" s="1" t="str">
        <f>[1]Data!F99</f>
        <v>North</v>
      </c>
      <c r="B53" s="1">
        <f>[1]Data!J99</f>
        <v>447.27848635895299</v>
      </c>
    </row>
    <row r="54" spans="1:2" x14ac:dyDescent="0.25">
      <c r="A54" s="1" t="str">
        <f>[1]Data!F2</f>
        <v>South</v>
      </c>
      <c r="B54" s="1">
        <f>[1]Data!J2</f>
        <v>619.41733832886609</v>
      </c>
    </row>
    <row r="55" spans="1:2" x14ac:dyDescent="0.25">
      <c r="A55" s="1" t="str">
        <f>[1]Data!F4</f>
        <v>South</v>
      </c>
      <c r="B55" s="1">
        <f>[1]Data!J4</f>
        <v>449.13093283360729</v>
      </c>
    </row>
    <row r="56" spans="1:2" x14ac:dyDescent="0.25">
      <c r="A56" s="1" t="str">
        <f>[1]Data!F20</f>
        <v>South</v>
      </c>
      <c r="B56" s="1">
        <f>[1]Data!J20</f>
        <v>696.81069761586082</v>
      </c>
    </row>
    <row r="57" spans="1:2" x14ac:dyDescent="0.25">
      <c r="A57" s="1" t="str">
        <f>[1]Data!F23</f>
        <v>South</v>
      </c>
      <c r="B57" s="1">
        <f>[1]Data!J23</f>
        <v>252.880529766411</v>
      </c>
    </row>
    <row r="58" spans="1:2" x14ac:dyDescent="0.25">
      <c r="A58" s="1" t="str">
        <f>[1]Data!F25</f>
        <v>South</v>
      </c>
      <c r="B58" s="1">
        <f>[1]Data!J25</f>
        <v>521.92242249612491</v>
      </c>
    </row>
    <row r="59" spans="1:2" x14ac:dyDescent="0.25">
      <c r="A59" s="1" t="str">
        <f>[1]Data!F27</f>
        <v>South</v>
      </c>
      <c r="B59" s="1">
        <f>[1]Data!J27</f>
        <v>463.17255028533771</v>
      </c>
    </row>
    <row r="60" spans="1:2" x14ac:dyDescent="0.25">
      <c r="A60" s="1" t="str">
        <f>[1]Data!F30</f>
        <v>South</v>
      </c>
      <c r="B60" s="1">
        <f>[1]Data!J30</f>
        <v>573.45234536559701</v>
      </c>
    </row>
    <row r="61" spans="1:2" x14ac:dyDescent="0.25">
      <c r="A61" s="1" t="str">
        <f>[1]Data!F32</f>
        <v>South</v>
      </c>
      <c r="B61" s="1">
        <f>[1]Data!J32</f>
        <v>545.77266574920179</v>
      </c>
    </row>
    <row r="62" spans="1:2" x14ac:dyDescent="0.25">
      <c r="A62" s="1" t="str">
        <f>[1]Data!F33</f>
        <v>South</v>
      </c>
      <c r="B62" s="1">
        <f>[1]Data!J33</f>
        <v>375.22752388249648</v>
      </c>
    </row>
    <row r="63" spans="1:2" x14ac:dyDescent="0.25">
      <c r="A63" s="1" t="str">
        <f>[1]Data!F41</f>
        <v>South</v>
      </c>
      <c r="B63" s="1">
        <f>[1]Data!J41</f>
        <v>708.1677590396705</v>
      </c>
    </row>
    <row r="64" spans="1:2" x14ac:dyDescent="0.25">
      <c r="A64" s="1" t="str">
        <f>[1]Data!F44</f>
        <v>South</v>
      </c>
      <c r="B64" s="1">
        <f>[1]Data!J44</f>
        <v>503.2671201808941</v>
      </c>
    </row>
    <row r="65" spans="1:2" x14ac:dyDescent="0.25">
      <c r="A65" s="1" t="str">
        <f>[1]Data!F49</f>
        <v>South</v>
      </c>
      <c r="B65" s="1">
        <f>[1]Data!J49</f>
        <v>696.81069761586082</v>
      </c>
    </row>
    <row r="66" spans="1:2" x14ac:dyDescent="0.25">
      <c r="A66" s="1" t="str">
        <f>[1]Data!F52</f>
        <v>South</v>
      </c>
      <c r="B66" s="1">
        <f>[1]Data!J52</f>
        <v>504.65458741369969</v>
      </c>
    </row>
    <row r="67" spans="1:2" x14ac:dyDescent="0.25">
      <c r="A67" s="1" t="str">
        <f>[1]Data!F55</f>
        <v>South</v>
      </c>
      <c r="B67" s="1">
        <f>[1]Data!J55</f>
        <v>523.01127462814736</v>
      </c>
    </row>
    <row r="68" spans="1:2" x14ac:dyDescent="0.25">
      <c r="A68" s="1" t="str">
        <f>[1]Data!F56</f>
        <v>South</v>
      </c>
      <c r="B68" s="1">
        <f>[1]Data!J56</f>
        <v>438.67524693903368</v>
      </c>
    </row>
    <row r="69" spans="1:2" x14ac:dyDescent="0.25">
      <c r="A69" s="1" t="str">
        <f>[1]Data!F57</f>
        <v>South</v>
      </c>
      <c r="B69" s="1">
        <f>[1]Data!J57</f>
        <v>830.13369852249514</v>
      </c>
    </row>
    <row r="70" spans="1:2" x14ac:dyDescent="0.25">
      <c r="A70" s="1" t="str">
        <f>[1]Data!F58</f>
        <v>South</v>
      </c>
      <c r="B70" s="1">
        <f>[1]Data!J58</f>
        <v>497.81317760107709</v>
      </c>
    </row>
    <row r="71" spans="1:2" x14ac:dyDescent="0.25">
      <c r="A71" s="1" t="str">
        <f>[1]Data!F60</f>
        <v>South</v>
      </c>
      <c r="B71" s="1">
        <f>[1]Data!J60</f>
        <v>523.01127462814736</v>
      </c>
    </row>
    <row r="72" spans="1:2" x14ac:dyDescent="0.25">
      <c r="A72" s="1" t="str">
        <f>[1]Data!F66</f>
        <v>South</v>
      </c>
      <c r="B72" s="1">
        <f>[1]Data!J66</f>
        <v>473.37922936466907</v>
      </c>
    </row>
    <row r="73" spans="1:2" x14ac:dyDescent="0.25">
      <c r="A73" s="1" t="str">
        <f>[1]Data!F70</f>
        <v>South</v>
      </c>
      <c r="B73" s="1">
        <f>[1]Data!J70</f>
        <v>608.0353746788893</v>
      </c>
    </row>
    <row r="74" spans="1:2" x14ac:dyDescent="0.25">
      <c r="A74" s="1" t="str">
        <f>[1]Data!F71</f>
        <v>South</v>
      </c>
      <c r="B74" s="1">
        <f>[1]Data!J71</f>
        <v>362.0806959925111</v>
      </c>
    </row>
    <row r="75" spans="1:2" x14ac:dyDescent="0.25">
      <c r="A75" s="1" t="str">
        <f>[1]Data!F79</f>
        <v>South</v>
      </c>
      <c r="B75" s="1">
        <f>[1]Data!J79</f>
        <v>726.81693567394757</v>
      </c>
    </row>
    <row r="76" spans="1:2" x14ac:dyDescent="0.25">
      <c r="A76" s="1" t="str">
        <f>[1]Data!F80</f>
        <v>South</v>
      </c>
      <c r="B76" s="1">
        <f>[1]Data!J80</f>
        <v>886.1339798802187</v>
      </c>
    </row>
    <row r="77" spans="1:2" x14ac:dyDescent="0.25">
      <c r="A77" s="1" t="str">
        <f>[1]Data!F81</f>
        <v>South</v>
      </c>
      <c r="B77" s="1">
        <f>[1]Data!J81</f>
        <v>664.15565877204904</v>
      </c>
    </row>
    <row r="78" spans="1:2" x14ac:dyDescent="0.25">
      <c r="A78" s="1" t="str">
        <f>[1]Data!F86</f>
        <v>South</v>
      </c>
      <c r="B78" s="1">
        <f>[1]Data!J86</f>
        <v>817.8805740858752</v>
      </c>
    </row>
    <row r="79" spans="1:2" x14ac:dyDescent="0.25">
      <c r="A79" s="1" t="str">
        <f>[1]Data!F90</f>
        <v>South</v>
      </c>
      <c r="B79" s="1">
        <f>[1]Data!J90</f>
        <v>375.22752388249648</v>
      </c>
    </row>
    <row r="80" spans="1:2" x14ac:dyDescent="0.25">
      <c r="A80" s="1" t="str">
        <f>[1]Data!F97</f>
        <v>South</v>
      </c>
      <c r="B80" s="1">
        <f>[1]Data!J97</f>
        <v>167.05152762488819</v>
      </c>
    </row>
    <row r="81" spans="1:2" x14ac:dyDescent="0.25">
      <c r="A81" s="1" t="str">
        <f>[1]Data!F98</f>
        <v>South</v>
      </c>
      <c r="B81" s="1">
        <f>[1]Data!J98</f>
        <v>734.54360210915809</v>
      </c>
    </row>
    <row r="82" spans="1:2" x14ac:dyDescent="0.25">
      <c r="A82" s="1" t="str">
        <f>[1]Data!F100</f>
        <v>South</v>
      </c>
      <c r="B82" s="1">
        <f>[1]Data!J100</f>
        <v>504.65458741369969</v>
      </c>
    </row>
    <row r="83" spans="1:2" x14ac:dyDescent="0.25">
      <c r="A83" s="1" t="str">
        <f>[1]Data!F3</f>
        <v>West</v>
      </c>
      <c r="B83" s="1">
        <f>[1]Data!J3</f>
        <v>886.1339798802187</v>
      </c>
    </row>
    <row r="84" spans="1:2" x14ac:dyDescent="0.25">
      <c r="A84" s="1" t="str">
        <f>[1]Data!F13</f>
        <v>West</v>
      </c>
      <c r="B84" s="1">
        <f>[1]Data!J13</f>
        <v>726.81693567394757</v>
      </c>
    </row>
    <row r="85" spans="1:2" x14ac:dyDescent="0.25">
      <c r="A85" s="1" t="str">
        <f>[1]Data!F15</f>
        <v>West</v>
      </c>
      <c r="B85" s="1">
        <f>[1]Data!J15</f>
        <v>497.81317760107709</v>
      </c>
    </row>
    <row r="86" spans="1:2" x14ac:dyDescent="0.25">
      <c r="A86" s="1" t="str">
        <f>[1]Data!F16</f>
        <v>West</v>
      </c>
      <c r="B86" s="1">
        <f>[1]Data!J16</f>
        <v>734.54360210915809</v>
      </c>
    </row>
    <row r="87" spans="1:2" x14ac:dyDescent="0.25">
      <c r="A87" s="1" t="str">
        <f>[1]Data!F28</f>
        <v>West</v>
      </c>
      <c r="B87" s="1">
        <f>[1]Data!J28</f>
        <v>720.91010268149512</v>
      </c>
    </row>
    <row r="88" spans="1:2" x14ac:dyDescent="0.25">
      <c r="A88" s="1" t="str">
        <f>[1]Data!F34</f>
        <v>West</v>
      </c>
      <c r="B88" s="1">
        <f>[1]Data!J34</f>
        <v>610.02358125508351</v>
      </c>
    </row>
    <row r="89" spans="1:2" x14ac:dyDescent="0.25">
      <c r="A89" s="1" t="str">
        <f>[1]Data!F43</f>
        <v>West</v>
      </c>
      <c r="B89" s="1">
        <f>[1]Data!J43</f>
        <v>890.46319359814106</v>
      </c>
    </row>
    <row r="90" spans="1:2" x14ac:dyDescent="0.25">
      <c r="A90" s="1" t="str">
        <f>[1]Data!F45</f>
        <v>West</v>
      </c>
      <c r="B90" s="1">
        <f>[1]Data!J45</f>
        <v>421.88563910474119</v>
      </c>
    </row>
    <row r="91" spans="1:2" x14ac:dyDescent="0.25">
      <c r="A91" s="1" t="str">
        <f>[1]Data!F48</f>
        <v>West</v>
      </c>
      <c r="B91" s="1">
        <f>[1]Data!J48</f>
        <v>559.97758335747517</v>
      </c>
    </row>
    <row r="92" spans="1:2" x14ac:dyDescent="0.25">
      <c r="A92" s="1" t="str">
        <f>[1]Data!F64</f>
        <v>West</v>
      </c>
      <c r="B92" s="1">
        <f>[1]Data!J64</f>
        <v>305.47024795509333</v>
      </c>
    </row>
    <row r="93" spans="1:2" x14ac:dyDescent="0.25">
      <c r="A93" s="1" t="str">
        <f>[1]Data!F68</f>
        <v>West</v>
      </c>
      <c r="B93" s="1">
        <f>[1]Data!J68</f>
        <v>659.36358432663053</v>
      </c>
    </row>
    <row r="94" spans="1:2" x14ac:dyDescent="0.25">
      <c r="A94" s="1" t="str">
        <f>[1]Data!F74</f>
        <v>West</v>
      </c>
      <c r="B94" s="1">
        <f>[1]Data!J74</f>
        <v>581.24124671152902</v>
      </c>
    </row>
    <row r="95" spans="1:2" x14ac:dyDescent="0.25">
      <c r="A95" s="1" t="str">
        <f>[1]Data!F84</f>
        <v>West</v>
      </c>
      <c r="B95" s="1">
        <f>[1]Data!J84</f>
        <v>252.880529766411</v>
      </c>
    </row>
    <row r="96" spans="1:2" x14ac:dyDescent="0.25">
      <c r="A96" s="1" t="str">
        <f>[1]Data!F85</f>
        <v>West</v>
      </c>
      <c r="B96" s="1">
        <f>[1]Data!J85</f>
        <v>773.23782906934002</v>
      </c>
    </row>
    <row r="97" spans="1:2" x14ac:dyDescent="0.25">
      <c r="A97" s="1" t="str">
        <f>[1]Data!F87</f>
        <v>West</v>
      </c>
      <c r="B97" s="1">
        <f>[1]Data!J87</f>
        <v>603.45495957616026</v>
      </c>
    </row>
    <row r="98" spans="1:2" x14ac:dyDescent="0.25">
      <c r="A98" s="1" t="str">
        <f>[1]Data!F89</f>
        <v>West</v>
      </c>
      <c r="B98" s="1">
        <f>[1]Data!J89</f>
        <v>307.91532286630729</v>
      </c>
    </row>
    <row r="99" spans="1:2" x14ac:dyDescent="0.25">
      <c r="A99" s="1" t="str">
        <f>[1]Data!F93</f>
        <v>West</v>
      </c>
      <c r="B99" s="1">
        <f>[1]Data!J93</f>
        <v>389.38710677341862</v>
      </c>
    </row>
    <row r="100" spans="1:2" x14ac:dyDescent="0.25">
      <c r="A100" s="1" t="str">
        <f>[1]Data!F94</f>
        <v>West</v>
      </c>
      <c r="B100" s="1">
        <f>[1]Data!J94</f>
        <v>454.85168594785551</v>
      </c>
    </row>
    <row r="101" spans="1:2" x14ac:dyDescent="0.25">
      <c r="A101" s="1" t="str">
        <f>[1]Data!F101</f>
        <v>West</v>
      </c>
      <c r="B101" s="1">
        <f>[1]Data!J101</f>
        <v>419.38042762271778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8848-217F-48C8-8ACB-AC0683252387}">
  <dimension ref="A1:Q101"/>
  <sheetViews>
    <sheetView workbookViewId="0">
      <selection activeCell="R7" activeCellId="1" sqref="P27 R7"/>
    </sheetView>
  </sheetViews>
  <sheetFormatPr defaultRowHeight="15.75" x14ac:dyDescent="0.25"/>
  <cols>
    <col min="1" max="1" width="12.375" bestFit="1" customWidth="1"/>
    <col min="11" max="11" width="12.75" bestFit="1" customWidth="1"/>
    <col min="12" max="12" width="12.5" bestFit="1" customWidth="1"/>
  </cols>
  <sheetData>
    <row r="1" spans="1:4" x14ac:dyDescent="0.25">
      <c r="A1" s="5" t="str">
        <f>[2]Data!K1</f>
        <v>Quantity Sold</v>
      </c>
      <c r="B1" s="5" t="str">
        <f>[2]Data!J1</f>
        <v>Sales</v>
      </c>
    </row>
    <row r="2" spans="1:4" x14ac:dyDescent="0.25">
      <c r="A2" s="3">
        <f>[2]Data!K2</f>
        <v>36.148044477110183</v>
      </c>
      <c r="B2" s="1">
        <f>[2]Data!J2</f>
        <v>619.41733832886609</v>
      </c>
      <c r="D2" t="s">
        <v>107</v>
      </c>
    </row>
    <row r="3" spans="1:4" x14ac:dyDescent="0.25">
      <c r="A3" s="3">
        <f>[2]Data!K3</f>
        <v>22.67066139610537</v>
      </c>
      <c r="B3" s="1">
        <f>[2]Data!J3</f>
        <v>886.1339798802187</v>
      </c>
    </row>
    <row r="4" spans="1:4" x14ac:dyDescent="0.25">
      <c r="A4" s="3">
        <f>[2]Data!K4</f>
        <v>25.659829377999021</v>
      </c>
      <c r="B4" s="1">
        <f>[2]Data!J4</f>
        <v>449.13093283360729</v>
      </c>
    </row>
    <row r="5" spans="1:4" x14ac:dyDescent="0.25">
      <c r="A5" s="3">
        <f>[2]Data!K5</f>
        <v>22.71292327512996</v>
      </c>
      <c r="B5" s="1">
        <f>[2]Data!J5</f>
        <v>610.02358125508351</v>
      </c>
    </row>
    <row r="6" spans="1:4" x14ac:dyDescent="0.25">
      <c r="A6" s="3">
        <f>[2]Data!K6</f>
        <v>22.17917729923893</v>
      </c>
      <c r="B6" s="1">
        <f>[2]Data!J6</f>
        <v>364.7761269469521</v>
      </c>
    </row>
    <row r="7" spans="1:4" x14ac:dyDescent="0.25">
      <c r="A7" s="3">
        <f>[2]Data!K7</f>
        <v>32.112950746165673</v>
      </c>
      <c r="B7" s="1">
        <f>[2]Data!J7</f>
        <v>576.61392133806294</v>
      </c>
    </row>
    <row r="8" spans="1:4" x14ac:dyDescent="0.25">
      <c r="A8" s="3">
        <f>[2]Data!K8</f>
        <v>34.168209673514582</v>
      </c>
      <c r="B8" s="1">
        <f>[2]Data!J8</f>
        <v>449.13093283360729</v>
      </c>
    </row>
    <row r="9" spans="1:4" x14ac:dyDescent="0.25">
      <c r="A9" s="3">
        <f>[2]Data!K9</f>
        <v>32.509503541037532</v>
      </c>
      <c r="B9" s="1">
        <f>[2]Data!J9</f>
        <v>372.90517238163818</v>
      </c>
    </row>
    <row r="10" spans="1:4" x14ac:dyDescent="0.25">
      <c r="A10" s="3">
        <f>[2]Data!K10</f>
        <v>28.966599379394442</v>
      </c>
      <c r="B10" s="1">
        <f>[2]Data!J10</f>
        <v>545.77266574920179</v>
      </c>
    </row>
    <row r="11" spans="1:4" x14ac:dyDescent="0.25">
      <c r="A11" s="3">
        <f>[2]Data!K11</f>
        <v>22.800456610910508</v>
      </c>
      <c r="B11" s="1">
        <f>[2]Data!J11</f>
        <v>413.90524534251369</v>
      </c>
    </row>
    <row r="12" spans="1:4" x14ac:dyDescent="0.25">
      <c r="A12" s="3">
        <f>[2]Data!K12</f>
        <v>37.920198615682011</v>
      </c>
      <c r="B12" s="1">
        <f>[2]Data!J12</f>
        <v>600.05114910613997</v>
      </c>
    </row>
    <row r="13" spans="1:4" x14ac:dyDescent="0.25">
      <c r="A13" s="3">
        <f>[2]Data!K13</f>
        <v>34.168209673514582</v>
      </c>
      <c r="B13" s="1">
        <f>[2]Data!J13</f>
        <v>726.81693567394757</v>
      </c>
    </row>
    <row r="14" spans="1:4" x14ac:dyDescent="0.25">
      <c r="A14" s="3">
        <f>[2]Data!K14</f>
        <v>34.509555299643331</v>
      </c>
      <c r="B14" s="1">
        <f>[2]Data!J14</f>
        <v>491.90097738880718</v>
      </c>
    </row>
    <row r="15" spans="1:4" x14ac:dyDescent="0.25">
      <c r="A15" s="3">
        <f>[2]Data!K15</f>
        <v>34.233542912614041</v>
      </c>
      <c r="B15" s="1">
        <f>[2]Data!J15</f>
        <v>497.81317760107709</v>
      </c>
    </row>
    <row r="16" spans="1:4" x14ac:dyDescent="0.25">
      <c r="A16" s="3">
        <f>[2]Data!K16</f>
        <v>38.91018632957595</v>
      </c>
      <c r="B16" s="1">
        <f>[2]Data!J16</f>
        <v>734.54360210915809</v>
      </c>
    </row>
    <row r="17" spans="1:17" x14ac:dyDescent="0.25">
      <c r="A17" s="3">
        <f>[2]Data!K17</f>
        <v>42.863547025446572</v>
      </c>
      <c r="B17" s="1">
        <f>[2]Data!J17</f>
        <v>610.02358125508351</v>
      </c>
    </row>
    <row r="18" spans="1:17" ht="16.5" thickBot="1" x14ac:dyDescent="0.3">
      <c r="A18" s="3">
        <f>[2]Data!K18</f>
        <v>34.481965046749572</v>
      </c>
      <c r="B18" s="1">
        <f>[2]Data!J18</f>
        <v>614.24978057956264</v>
      </c>
    </row>
    <row r="19" spans="1:17" x14ac:dyDescent="0.25">
      <c r="A19" s="3">
        <f>[2]Data!K19</f>
        <v>19.701526021482589</v>
      </c>
      <c r="B19" s="1">
        <f>[2]Data!J19</f>
        <v>291.05760965024848</v>
      </c>
      <c r="K19" s="8"/>
      <c r="L19" s="8" t="s">
        <v>47</v>
      </c>
      <c r="M19" s="8" t="s">
        <v>46</v>
      </c>
      <c r="O19" t="s">
        <v>109</v>
      </c>
      <c r="P19" s="1">
        <f>P25</f>
        <v>2.5885200317594247E-2</v>
      </c>
      <c r="Q19" t="s">
        <v>112</v>
      </c>
    </row>
    <row r="20" spans="1:17" x14ac:dyDescent="0.25">
      <c r="A20" s="3">
        <f>[2]Data!K20</f>
        <v>30.21220372182901</v>
      </c>
      <c r="B20" s="1">
        <f>[2]Data!J20</f>
        <v>696.81069761586082</v>
      </c>
      <c r="K20" s="9" t="s">
        <v>47</v>
      </c>
      <c r="L20" s="9">
        <v>1</v>
      </c>
      <c r="M20" s="9"/>
    </row>
    <row r="21" spans="1:17" ht="16.5" thickBot="1" x14ac:dyDescent="0.3">
      <c r="A21" s="3">
        <f>[2]Data!K21</f>
        <v>42.328424856528947</v>
      </c>
      <c r="B21" s="1">
        <f>[2]Data!J21</f>
        <v>551.57500310812304</v>
      </c>
      <c r="K21" s="10" t="s">
        <v>46</v>
      </c>
      <c r="L21" s="30">
        <v>0.22278596249117702</v>
      </c>
      <c r="M21" s="10">
        <v>1</v>
      </c>
      <c r="O21" t="s">
        <v>70</v>
      </c>
      <c r="P21" s="1">
        <f>COUNT(B2:B101)-2</f>
        <v>98</v>
      </c>
    </row>
    <row r="22" spans="1:17" x14ac:dyDescent="0.25">
      <c r="A22" s="3">
        <f>[2]Data!K22</f>
        <v>25.761026144140789</v>
      </c>
      <c r="B22" s="1">
        <f>[2]Data!J22</f>
        <v>495.58882510192927</v>
      </c>
    </row>
    <row r="23" spans="1:17" x14ac:dyDescent="0.25">
      <c r="A23" s="3">
        <f>[2]Data!K23</f>
        <v>32.124851019620138</v>
      </c>
      <c r="B23" s="1">
        <f>[2]Data!J23</f>
        <v>252.880529766411</v>
      </c>
      <c r="O23" t="s">
        <v>110</v>
      </c>
      <c r="P23" s="1">
        <f xml:space="preserve"> L24 * SQRT((P21)/(1-L24^2))</f>
        <v>2.2623266974899479</v>
      </c>
    </row>
    <row r="24" spans="1:17" x14ac:dyDescent="0.25">
      <c r="A24" s="3">
        <f>[2]Data!K24</f>
        <v>42.450393069510469</v>
      </c>
      <c r="B24" s="1">
        <f>[2]Data!J24</f>
        <v>294.05947140624812</v>
      </c>
      <c r="K24" t="s">
        <v>108</v>
      </c>
      <c r="L24" s="1">
        <f>L21</f>
        <v>0.22278596249117702</v>
      </c>
    </row>
    <row r="25" spans="1:17" x14ac:dyDescent="0.25">
      <c r="A25" s="3">
        <f>[2]Data!K25</f>
        <v>27.640040591643441</v>
      </c>
      <c r="B25" s="1">
        <f>[2]Data!J25</f>
        <v>521.92242249612491</v>
      </c>
      <c r="O25" t="s">
        <v>111</v>
      </c>
      <c r="P25" s="1">
        <f>_xlfn.T.DIST.2T(P23,P21)</f>
        <v>2.5885200317594247E-2</v>
      </c>
    </row>
    <row r="26" spans="1:17" x14ac:dyDescent="0.25">
      <c r="A26" s="3">
        <f>[2]Data!K26</f>
        <v>23.1050477214369</v>
      </c>
      <c r="B26" s="1">
        <f>[2]Data!J26</f>
        <v>415.68001582094871</v>
      </c>
    </row>
    <row r="27" spans="1:17" x14ac:dyDescent="0.25">
      <c r="A27" s="3">
        <f>[2]Data!K27</f>
        <v>25.06958002405791</v>
      </c>
      <c r="B27" s="1">
        <f>[2]Data!J27</f>
        <v>463.17255028533771</v>
      </c>
    </row>
    <row r="28" spans="1:17" x14ac:dyDescent="0.25">
      <c r="A28" s="3">
        <f>[2]Data!K28</f>
        <v>37.446775253972348</v>
      </c>
      <c r="B28" s="1">
        <f>[2]Data!J28</f>
        <v>720.91010268149512</v>
      </c>
    </row>
    <row r="29" spans="1:17" x14ac:dyDescent="0.25">
      <c r="A29" s="3">
        <f>[2]Data!K29</f>
        <v>34.093862468973867</v>
      </c>
      <c r="B29" s="1">
        <f>[2]Data!J29</f>
        <v>830.13369852249514</v>
      </c>
    </row>
    <row r="30" spans="1:17" x14ac:dyDescent="0.25">
      <c r="A30" s="3">
        <f>[2]Data!K30</f>
        <v>31.988254494707039</v>
      </c>
      <c r="B30" s="1">
        <f>[2]Data!J30</f>
        <v>573.45234536559701</v>
      </c>
    </row>
    <row r="31" spans="1:17" x14ac:dyDescent="0.25">
      <c r="A31" s="3">
        <f>[2]Data!K31</f>
        <v>25.403001481665331</v>
      </c>
      <c r="B31" s="1">
        <f>[2]Data!J31</f>
        <v>473.55217273725202</v>
      </c>
    </row>
    <row r="32" spans="1:17" x14ac:dyDescent="0.25">
      <c r="A32" s="3">
        <f>[2]Data!K32</f>
        <v>42.957474570995288</v>
      </c>
      <c r="B32" s="1">
        <f>[2]Data!J32</f>
        <v>545.77266574920179</v>
      </c>
    </row>
    <row r="33" spans="1:2" x14ac:dyDescent="0.25">
      <c r="A33" s="3">
        <f>[2]Data!K33</f>
        <v>32.509503541037532</v>
      </c>
      <c r="B33" s="1">
        <f>[2]Data!J33</f>
        <v>375.22752388249648</v>
      </c>
    </row>
    <row r="34" spans="1:2" x14ac:dyDescent="0.25">
      <c r="A34" s="3">
        <f>[2]Data!K34</f>
        <v>37.920198615682011</v>
      </c>
      <c r="B34" s="1">
        <f>[2]Data!J34</f>
        <v>610.02358125508351</v>
      </c>
    </row>
    <row r="35" spans="1:2" x14ac:dyDescent="0.25">
      <c r="A35" s="3">
        <f>[2]Data!K35</f>
        <v>23.33189768406957</v>
      </c>
      <c r="B35" s="1">
        <f>[2]Data!J35</f>
        <v>830.13369852249514</v>
      </c>
    </row>
    <row r="36" spans="1:2" x14ac:dyDescent="0.25">
      <c r="A36" s="3">
        <f>[2]Data!K36</f>
        <v>28.213310860324128</v>
      </c>
      <c r="B36" s="1">
        <f>[2]Data!J36</f>
        <v>307.91532286630729</v>
      </c>
    </row>
    <row r="37" spans="1:2" x14ac:dyDescent="0.25">
      <c r="A37" s="3">
        <f>[2]Data!K37</f>
        <v>29.54505596450246</v>
      </c>
      <c r="B37" s="1">
        <f>[2]Data!J37</f>
        <v>557.79180936942089</v>
      </c>
    </row>
    <row r="38" spans="1:2" x14ac:dyDescent="0.25">
      <c r="A38" s="3">
        <f>[2]Data!K38</f>
        <v>42.450393069510469</v>
      </c>
      <c r="B38" s="1">
        <f>[2]Data!J38</f>
        <v>449.13093283360729</v>
      </c>
    </row>
    <row r="39" spans="1:2" x14ac:dyDescent="0.25">
      <c r="A39" s="3">
        <f>[2]Data!K39</f>
        <v>36.148044477110183</v>
      </c>
      <c r="B39" s="1">
        <f>[2]Data!J39</f>
        <v>734.54360210915809</v>
      </c>
    </row>
    <row r="40" spans="1:2" x14ac:dyDescent="0.25">
      <c r="A40" s="3">
        <f>[2]Data!K40</f>
        <v>35.14527034142445</v>
      </c>
      <c r="B40" s="1">
        <f>[2]Data!J40</f>
        <v>252.880529766411</v>
      </c>
    </row>
    <row r="41" spans="1:2" x14ac:dyDescent="0.25">
      <c r="A41" s="3">
        <f>[2]Data!K41</f>
        <v>36.462644721053408</v>
      </c>
      <c r="B41" s="1">
        <f>[2]Data!J41</f>
        <v>708.1677590396705</v>
      </c>
    </row>
    <row r="42" spans="1:2" x14ac:dyDescent="0.25">
      <c r="A42" s="3">
        <f>[2]Data!K42</f>
        <v>42.957474570995288</v>
      </c>
      <c r="B42" s="1">
        <f>[2]Data!J42</f>
        <v>447.27848635895299</v>
      </c>
    </row>
    <row r="43" spans="1:2" x14ac:dyDescent="0.25">
      <c r="A43" s="3">
        <f>[2]Data!K43</f>
        <v>28.856357791851678</v>
      </c>
      <c r="B43" s="1">
        <f>[2]Data!J43</f>
        <v>890.46319359814106</v>
      </c>
    </row>
    <row r="44" spans="1:2" x14ac:dyDescent="0.25">
      <c r="A44" s="3">
        <f>[2]Data!K44</f>
        <v>26.96311664321771</v>
      </c>
      <c r="B44" s="1">
        <f>[2]Data!J44</f>
        <v>503.2671201808941</v>
      </c>
    </row>
    <row r="45" spans="1:2" x14ac:dyDescent="0.25">
      <c r="A45" s="3">
        <f>[2]Data!K45</f>
        <v>24.258495432968651</v>
      </c>
      <c r="B45" s="1">
        <f>[2]Data!J45</f>
        <v>421.88563910474119</v>
      </c>
    </row>
    <row r="46" spans="1:2" x14ac:dyDescent="0.25">
      <c r="A46" s="3">
        <f>[2]Data!K46</f>
        <v>30.21220372182901</v>
      </c>
      <c r="B46" s="1">
        <f>[2]Data!J46</f>
        <v>291.05760965024848</v>
      </c>
    </row>
    <row r="47" spans="1:2" x14ac:dyDescent="0.25">
      <c r="A47" s="3">
        <f>[2]Data!K47</f>
        <v>32.640044751077639</v>
      </c>
      <c r="B47" s="1">
        <f>[2]Data!J47</f>
        <v>596.96015524763516</v>
      </c>
    </row>
    <row r="48" spans="1:2" x14ac:dyDescent="0.25">
      <c r="A48" s="3">
        <f>[2]Data!K48</f>
        <v>30.116527726833709</v>
      </c>
      <c r="B48" s="1">
        <f>[2]Data!J48</f>
        <v>559.97758335747517</v>
      </c>
    </row>
    <row r="49" spans="1:2" x14ac:dyDescent="0.25">
      <c r="A49" s="3">
        <f>[2]Data!K49</f>
        <v>36.329472046171738</v>
      </c>
      <c r="B49" s="1">
        <f>[2]Data!J49</f>
        <v>696.81069761586082</v>
      </c>
    </row>
    <row r="50" spans="1:2" x14ac:dyDescent="0.25">
      <c r="A50" s="3">
        <f>[2]Data!K50</f>
        <v>33.488511070211693</v>
      </c>
      <c r="B50" s="1">
        <f>[2]Data!J50</f>
        <v>606.72437794032601</v>
      </c>
    </row>
    <row r="51" spans="1:2" x14ac:dyDescent="0.25">
      <c r="A51" s="3">
        <f>[2]Data!K51</f>
        <v>22.67066139610537</v>
      </c>
      <c r="B51" s="1">
        <f>[2]Data!J51</f>
        <v>484.28885475832197</v>
      </c>
    </row>
    <row r="52" spans="1:2" x14ac:dyDescent="0.25">
      <c r="A52" s="3">
        <f>[2]Data!K52</f>
        <v>42.450393069510469</v>
      </c>
      <c r="B52" s="1">
        <f>[2]Data!J52</f>
        <v>504.65458741369969</v>
      </c>
    </row>
    <row r="53" spans="1:2" x14ac:dyDescent="0.25">
      <c r="A53" s="3">
        <f>[2]Data!K53</f>
        <v>26.6797836620513</v>
      </c>
      <c r="B53" s="1">
        <f>[2]Data!J53</f>
        <v>496.06702576891882</v>
      </c>
    </row>
    <row r="54" spans="1:2" x14ac:dyDescent="0.25">
      <c r="A54" s="3">
        <f>[2]Data!K54</f>
        <v>37.510906147376723</v>
      </c>
      <c r="B54" s="1">
        <f>[2]Data!J54</f>
        <v>569.036813905543</v>
      </c>
    </row>
    <row r="55" spans="1:2" x14ac:dyDescent="0.25">
      <c r="A55" s="3">
        <f>[2]Data!K55</f>
        <v>21.014939592383691</v>
      </c>
      <c r="B55" s="1">
        <f>[2]Data!J55</f>
        <v>523.01127462814736</v>
      </c>
    </row>
    <row r="56" spans="1:2" x14ac:dyDescent="0.25">
      <c r="A56" s="3">
        <f>[2]Data!K56</f>
        <v>25.659829377999021</v>
      </c>
      <c r="B56" s="1">
        <f>[2]Data!J56</f>
        <v>438.67524693903368</v>
      </c>
    </row>
    <row r="57" spans="1:2" x14ac:dyDescent="0.25">
      <c r="A57" s="3">
        <f>[2]Data!K57</f>
        <v>42.819613509869228</v>
      </c>
      <c r="B57" s="1">
        <f>[2]Data!J57</f>
        <v>830.13369852249514</v>
      </c>
    </row>
    <row r="58" spans="1:2" x14ac:dyDescent="0.25">
      <c r="A58" s="3">
        <f>[2]Data!K58</f>
        <v>28.213310860324128</v>
      </c>
      <c r="B58" s="1">
        <f>[2]Data!J58</f>
        <v>497.81317760107709</v>
      </c>
    </row>
    <row r="59" spans="1:2" x14ac:dyDescent="0.25">
      <c r="A59" s="3">
        <f>[2]Data!K59</f>
        <v>28.856357791851678</v>
      </c>
      <c r="B59" s="1">
        <f>[2]Data!J59</f>
        <v>375.22752388249648</v>
      </c>
    </row>
    <row r="60" spans="1:2" x14ac:dyDescent="0.25">
      <c r="A60" s="3">
        <f>[2]Data!K60</f>
        <v>32.509503541037532</v>
      </c>
      <c r="B60" s="1">
        <f>[2]Data!J60</f>
        <v>523.01127462814736</v>
      </c>
    </row>
    <row r="61" spans="1:2" x14ac:dyDescent="0.25">
      <c r="A61" s="3">
        <f>[2]Data!K61</f>
        <v>36.13905882520546</v>
      </c>
      <c r="B61" s="1">
        <f>[2]Data!J61</f>
        <v>504.65458741369969</v>
      </c>
    </row>
    <row r="62" spans="1:2" x14ac:dyDescent="0.25">
      <c r="A62" s="3">
        <f>[2]Data!K62</f>
        <v>42.863547025446572</v>
      </c>
      <c r="B62" s="1">
        <f>[2]Data!J62</f>
        <v>319.56344705841639</v>
      </c>
    </row>
    <row r="63" spans="1:2" x14ac:dyDescent="0.25">
      <c r="A63" s="3">
        <f>[2]Data!K63</f>
        <v>34.543963455210843</v>
      </c>
      <c r="B63" s="1">
        <f>[2]Data!J63</f>
        <v>619.41733832886609</v>
      </c>
    </row>
    <row r="64" spans="1:2" x14ac:dyDescent="0.25">
      <c r="A64" s="3">
        <f>[2]Data!K64</f>
        <v>20.833658043879868</v>
      </c>
      <c r="B64" s="1">
        <f>[2]Data!J64</f>
        <v>305.47024795509333</v>
      </c>
    </row>
    <row r="65" spans="1:2" x14ac:dyDescent="0.25">
      <c r="A65" s="3">
        <f>[2]Data!K65</f>
        <v>21.014939592383691</v>
      </c>
      <c r="B65" s="1">
        <f>[2]Data!J65</f>
        <v>521.92242249612491</v>
      </c>
    </row>
    <row r="66" spans="1:2" x14ac:dyDescent="0.25">
      <c r="A66" s="3">
        <f>[2]Data!K66</f>
        <v>25.369547601790899</v>
      </c>
      <c r="B66" s="1">
        <f>[2]Data!J66</f>
        <v>473.37922936466907</v>
      </c>
    </row>
    <row r="67" spans="1:2" x14ac:dyDescent="0.25">
      <c r="A67" s="3">
        <f>[2]Data!K67</f>
        <v>37.510906147376723</v>
      </c>
      <c r="B67" s="1">
        <f>[2]Data!J67</f>
        <v>619.41733832886609</v>
      </c>
    </row>
    <row r="68" spans="1:2" x14ac:dyDescent="0.25">
      <c r="A68" s="3">
        <f>[2]Data!K68</f>
        <v>35.629086509343651</v>
      </c>
      <c r="B68" s="1">
        <f>[2]Data!J68</f>
        <v>659.36358432663053</v>
      </c>
    </row>
    <row r="69" spans="1:2" x14ac:dyDescent="0.25">
      <c r="A69" s="3">
        <f>[2]Data!K69</f>
        <v>35.349709305309297</v>
      </c>
      <c r="B69" s="1">
        <f>[2]Data!J69</f>
        <v>648.04278931605404</v>
      </c>
    </row>
    <row r="70" spans="1:2" x14ac:dyDescent="0.25">
      <c r="A70" s="3">
        <f>[2]Data!K70</f>
        <v>33.594994608612112</v>
      </c>
      <c r="B70" s="1">
        <f>[2]Data!J70</f>
        <v>608.0353746788893</v>
      </c>
    </row>
    <row r="71" spans="1:2" x14ac:dyDescent="0.25">
      <c r="A71" s="3">
        <f>[2]Data!K71</f>
        <v>21.830429874465541</v>
      </c>
      <c r="B71" s="1">
        <f>[2]Data!J71</f>
        <v>362.0806959925111</v>
      </c>
    </row>
    <row r="72" spans="1:2" x14ac:dyDescent="0.25">
      <c r="A72" s="3">
        <f>[2]Data!K72</f>
        <v>31.780339128994552</v>
      </c>
      <c r="B72" s="1">
        <f>[2]Data!J72</f>
        <v>573.24211385453748</v>
      </c>
    </row>
    <row r="73" spans="1:2" x14ac:dyDescent="0.25">
      <c r="A73" s="3">
        <f>[2]Data!K73</f>
        <v>29.002436397815529</v>
      </c>
      <c r="B73" s="1">
        <f>[2]Data!J73</f>
        <v>551.57500310812304</v>
      </c>
    </row>
    <row r="74" spans="1:2" x14ac:dyDescent="0.25">
      <c r="A74" s="3">
        <f>[2]Data!K74</f>
        <v>32.124851019620138</v>
      </c>
      <c r="B74" s="1">
        <f>[2]Data!J74</f>
        <v>581.24124671152902</v>
      </c>
    </row>
    <row r="75" spans="1:2" x14ac:dyDescent="0.25">
      <c r="A75" s="3">
        <f>[2]Data!K75</f>
        <v>39.870098609562831</v>
      </c>
      <c r="B75" s="1">
        <f>[2]Data!J75</f>
        <v>551.57500310812304</v>
      </c>
    </row>
    <row r="76" spans="1:2" x14ac:dyDescent="0.25">
      <c r="A76" s="3">
        <f>[2]Data!K76</f>
        <v>28.61134162948003</v>
      </c>
      <c r="B76" s="1">
        <f>[2]Data!J76</f>
        <v>545.77266574920179</v>
      </c>
    </row>
    <row r="77" spans="1:2" x14ac:dyDescent="0.25">
      <c r="A77" s="3">
        <f>[2]Data!K77</f>
        <v>22.71292327512996</v>
      </c>
      <c r="B77" s="1">
        <f>[2]Data!J77</f>
        <v>403.40831801853841</v>
      </c>
    </row>
    <row r="78" spans="1:2" x14ac:dyDescent="0.25">
      <c r="A78" s="3">
        <f>[2]Data!K78</f>
        <v>21.380953935177011</v>
      </c>
      <c r="B78" s="1">
        <f>[2]Data!J78</f>
        <v>886.1339798802187</v>
      </c>
    </row>
    <row r="79" spans="1:2" x14ac:dyDescent="0.25">
      <c r="A79" s="3">
        <f>[2]Data!K79</f>
        <v>42.328424856528947</v>
      </c>
      <c r="B79" s="1">
        <f>[2]Data!J79</f>
        <v>726.81693567394757</v>
      </c>
    </row>
    <row r="80" spans="1:2" x14ac:dyDescent="0.25">
      <c r="A80" s="3">
        <f>[2]Data!K80</f>
        <v>28.856357791851678</v>
      </c>
      <c r="B80" s="1">
        <f>[2]Data!J80</f>
        <v>886.1339798802187</v>
      </c>
    </row>
    <row r="81" spans="1:2" x14ac:dyDescent="0.25">
      <c r="A81" s="3">
        <f>[2]Data!K81</f>
        <v>35.712204079351267</v>
      </c>
      <c r="B81" s="1">
        <f>[2]Data!J81</f>
        <v>664.15565877204904</v>
      </c>
    </row>
    <row r="82" spans="1:2" x14ac:dyDescent="0.25">
      <c r="A82" s="3">
        <f>[2]Data!K82</f>
        <v>22.71292327512996</v>
      </c>
      <c r="B82" s="1">
        <f>[2]Data!J82</f>
        <v>558.42480133446179</v>
      </c>
    </row>
    <row r="83" spans="1:2" x14ac:dyDescent="0.25">
      <c r="A83" s="3">
        <f>[2]Data!K83</f>
        <v>42.863547025446572</v>
      </c>
      <c r="B83" s="1">
        <f>[2]Data!J83</f>
        <v>569.036813905543</v>
      </c>
    </row>
    <row r="84" spans="1:2" x14ac:dyDescent="0.25">
      <c r="A84" s="3">
        <f>[2]Data!K84</f>
        <v>34.233542912614041</v>
      </c>
      <c r="B84" s="1">
        <f>[2]Data!J84</f>
        <v>252.880529766411</v>
      </c>
    </row>
    <row r="85" spans="1:2" x14ac:dyDescent="0.25">
      <c r="A85" s="3">
        <f>[2]Data!K85</f>
        <v>41.422284810995777</v>
      </c>
      <c r="B85" s="1">
        <f>[2]Data!J85</f>
        <v>773.23782906934002</v>
      </c>
    </row>
    <row r="86" spans="1:2" x14ac:dyDescent="0.25">
      <c r="A86" s="3">
        <f>[2]Data!K86</f>
        <v>35.14527034142445</v>
      </c>
      <c r="B86" s="1">
        <f>[2]Data!J86</f>
        <v>817.8805740858752</v>
      </c>
    </row>
    <row r="87" spans="1:2" x14ac:dyDescent="0.25">
      <c r="A87" s="3">
        <f>[2]Data!K87</f>
        <v>34.233542912614041</v>
      </c>
      <c r="B87" s="1">
        <f>[2]Data!J87</f>
        <v>603.45495957616026</v>
      </c>
    </row>
    <row r="88" spans="1:2" x14ac:dyDescent="0.25">
      <c r="A88" s="3">
        <f>[2]Data!K88</f>
        <v>34.509555299643331</v>
      </c>
      <c r="B88" s="1">
        <f>[2]Data!J88</f>
        <v>518.08895796790466</v>
      </c>
    </row>
    <row r="89" spans="1:2" x14ac:dyDescent="0.25">
      <c r="A89" s="3">
        <f>[2]Data!K89</f>
        <v>34.093862468973867</v>
      </c>
      <c r="B89" s="1">
        <f>[2]Data!J89</f>
        <v>307.91532286630729</v>
      </c>
    </row>
    <row r="90" spans="1:2" x14ac:dyDescent="0.25">
      <c r="A90" s="3">
        <f>[2]Data!K90</f>
        <v>21.380953935177011</v>
      </c>
      <c r="B90" s="1">
        <f>[2]Data!J90</f>
        <v>375.22752388249648</v>
      </c>
    </row>
    <row r="91" spans="1:2" x14ac:dyDescent="0.25">
      <c r="A91" s="3">
        <f>[2]Data!K91</f>
        <v>27.242540128268349</v>
      </c>
      <c r="B91" s="1">
        <f>[2]Data!J91</f>
        <v>519.22626043512992</v>
      </c>
    </row>
    <row r="92" spans="1:2" x14ac:dyDescent="0.25">
      <c r="A92" s="3">
        <f>[2]Data!K92</f>
        <v>39.870098609562831</v>
      </c>
      <c r="B92" s="1">
        <f>[2]Data!J92</f>
        <v>291.05760965024848</v>
      </c>
    </row>
    <row r="93" spans="1:2" x14ac:dyDescent="0.25">
      <c r="A93" s="3">
        <f>[2]Data!K93</f>
        <v>32.124851019620138</v>
      </c>
      <c r="B93" s="1">
        <f>[2]Data!J93</f>
        <v>389.38710677341862</v>
      </c>
    </row>
    <row r="94" spans="1:2" x14ac:dyDescent="0.25">
      <c r="A94" s="3">
        <f>[2]Data!K94</f>
        <v>21.380953935177011</v>
      </c>
      <c r="B94" s="1">
        <f>[2]Data!J94</f>
        <v>454.85168594785551</v>
      </c>
    </row>
    <row r="95" spans="1:2" x14ac:dyDescent="0.25">
      <c r="A95" s="3">
        <f>[2]Data!K95</f>
        <v>28.61134162948003</v>
      </c>
      <c r="B95" s="1">
        <f>[2]Data!J95</f>
        <v>521.92242249612491</v>
      </c>
    </row>
    <row r="96" spans="1:2" x14ac:dyDescent="0.25">
      <c r="A96" s="3">
        <f>[2]Data!K96</f>
        <v>37.920198615682011</v>
      </c>
      <c r="B96" s="1">
        <f>[2]Data!J96</f>
        <v>518.08895796790466</v>
      </c>
    </row>
    <row r="97" spans="1:2" x14ac:dyDescent="0.25">
      <c r="A97" s="3">
        <f>[2]Data!K97</f>
        <v>15.177312318503819</v>
      </c>
      <c r="B97" s="1">
        <f>[2]Data!J97</f>
        <v>167.05152762488819</v>
      </c>
    </row>
    <row r="98" spans="1:2" x14ac:dyDescent="0.25">
      <c r="A98" s="3">
        <f>[2]Data!K98</f>
        <v>36.040297721835898</v>
      </c>
      <c r="B98" s="1">
        <f>[2]Data!J98</f>
        <v>734.54360210915809</v>
      </c>
    </row>
    <row r="99" spans="1:2" x14ac:dyDescent="0.25">
      <c r="A99" s="3">
        <f>[2]Data!K99</f>
        <v>24.86722617036456</v>
      </c>
      <c r="B99" s="1">
        <f>[2]Data!J99</f>
        <v>447.27848635895299</v>
      </c>
    </row>
    <row r="100" spans="1:2" x14ac:dyDescent="0.25">
      <c r="A100" s="3">
        <f>[2]Data!K100</f>
        <v>25.659829377999021</v>
      </c>
      <c r="B100" s="1">
        <f>[2]Data!J100</f>
        <v>504.65458741369969</v>
      </c>
    </row>
    <row r="101" spans="1:2" x14ac:dyDescent="0.25">
      <c r="A101" s="3">
        <f>[2]Data!K101</f>
        <v>36.13905882520546</v>
      </c>
      <c r="B101" s="1">
        <f>[2]Data!J101</f>
        <v>419.38042762271778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EBEF-E819-4502-B073-4A8EA7BA0BD3}">
  <dimension ref="A1:J37"/>
  <sheetViews>
    <sheetView workbookViewId="0">
      <selection activeCell="F9" sqref="F9"/>
    </sheetView>
  </sheetViews>
  <sheetFormatPr defaultRowHeight="15.75" x14ac:dyDescent="0.25"/>
  <cols>
    <col min="2" max="2" width="12.75" bestFit="1" customWidth="1"/>
    <col min="3" max="3" width="15.25" bestFit="1" customWidth="1"/>
    <col min="4" max="4" width="22.875" bestFit="1" customWidth="1"/>
    <col min="5" max="5" width="10.125" bestFit="1" customWidth="1"/>
    <col min="6" max="6" width="25.875" bestFit="1" customWidth="1"/>
    <col min="7" max="7" width="15.25" bestFit="1" customWidth="1"/>
    <col min="8" max="8" width="9.375" bestFit="1" customWidth="1"/>
    <col min="9" max="9" width="9.75" bestFit="1" customWidth="1"/>
    <col min="10" max="10" width="11" bestFit="1" customWidth="1"/>
    <col min="11" max="11" width="19.5" bestFit="1" customWidth="1"/>
    <col min="12" max="12" width="24.125" bestFit="1" customWidth="1"/>
    <col min="13" max="13" width="24.5" bestFit="1" customWidth="1"/>
    <col min="14" max="101" width="15.25" bestFit="1" customWidth="1"/>
    <col min="102" max="102" width="11" bestFit="1" customWidth="1"/>
  </cols>
  <sheetData>
    <row r="1" spans="1:10" x14ac:dyDescent="0.25">
      <c r="A1" t="s">
        <v>134</v>
      </c>
    </row>
    <row r="3" spans="1:10" x14ac:dyDescent="0.25">
      <c r="B3" s="17"/>
      <c r="C3" s="36" t="s">
        <v>135</v>
      </c>
      <c r="D3" s="17"/>
      <c r="E3" s="17"/>
      <c r="F3" s="17"/>
      <c r="G3" s="17"/>
      <c r="H3" s="17"/>
      <c r="I3" s="17"/>
    </row>
    <row r="4" spans="1:10" x14ac:dyDescent="0.25">
      <c r="B4" s="36" t="s">
        <v>136</v>
      </c>
      <c r="C4" s="17" t="s">
        <v>40</v>
      </c>
      <c r="D4" s="17" t="s">
        <v>15</v>
      </c>
      <c r="E4" s="17" t="s">
        <v>8</v>
      </c>
      <c r="F4" s="17" t="s">
        <v>21</v>
      </c>
      <c r="G4" s="17" t="s">
        <v>25</v>
      </c>
      <c r="H4" s="17" t="s">
        <v>87</v>
      </c>
      <c r="I4" s="17"/>
    </row>
    <row r="5" spans="1:10" x14ac:dyDescent="0.25">
      <c r="B5" s="35" t="s">
        <v>145</v>
      </c>
      <c r="C5" s="17">
        <v>0.30463161165920072</v>
      </c>
      <c r="D5" s="17">
        <v>0.28207027304475285</v>
      </c>
      <c r="E5" s="17">
        <v>0.29341221334385292</v>
      </c>
      <c r="F5" s="17">
        <v>0.27348353487465565</v>
      </c>
      <c r="G5" s="17">
        <v>0.27960910862075272</v>
      </c>
      <c r="H5" s="17">
        <v>0.28688021956360582</v>
      </c>
      <c r="I5" s="17"/>
    </row>
    <row r="6" spans="1:10" x14ac:dyDescent="0.25">
      <c r="B6" s="35" t="s">
        <v>144</v>
      </c>
      <c r="C6" s="17">
        <v>0.19793081050589195</v>
      </c>
      <c r="D6" s="17">
        <v>0.1792119726776597</v>
      </c>
      <c r="E6" s="17">
        <v>0.1914367551470802</v>
      </c>
      <c r="F6" s="17">
        <v>0.16045404827461524</v>
      </c>
      <c r="G6" s="17">
        <v>0.17634523606394423</v>
      </c>
      <c r="H6" s="17">
        <v>0.18142183732884568</v>
      </c>
      <c r="I6" s="17"/>
    </row>
    <row r="7" spans="1:10" x14ac:dyDescent="0.25">
      <c r="B7" s="17"/>
      <c r="C7" s="17"/>
      <c r="D7" s="17"/>
      <c r="E7" s="17"/>
      <c r="F7" s="17"/>
      <c r="G7" s="17"/>
      <c r="H7" s="17"/>
      <c r="I7" s="17"/>
    </row>
    <row r="9" spans="1:10" x14ac:dyDescent="0.25">
      <c r="A9" t="s">
        <v>137</v>
      </c>
      <c r="F9" t="s">
        <v>141</v>
      </c>
    </row>
    <row r="11" spans="1:10" x14ac:dyDescent="0.25">
      <c r="A11" s="1"/>
      <c r="B11" s="37" t="s">
        <v>86</v>
      </c>
      <c r="C11" s="1" t="s">
        <v>139</v>
      </c>
      <c r="D11" s="1" t="s">
        <v>140</v>
      </c>
      <c r="F11" s="25" t="s">
        <v>142</v>
      </c>
      <c r="G11" s="25" t="s">
        <v>135</v>
      </c>
    </row>
    <row r="12" spans="1:10" x14ac:dyDescent="0.25">
      <c r="A12" s="1"/>
      <c r="B12" s="38" t="s">
        <v>40</v>
      </c>
      <c r="C12" s="1">
        <v>578.37358437188982</v>
      </c>
      <c r="D12" s="1">
        <v>32.310890353792693</v>
      </c>
      <c r="F12" s="25" t="s">
        <v>86</v>
      </c>
      <c r="G12" t="s">
        <v>16</v>
      </c>
      <c r="H12" t="s">
        <v>9</v>
      </c>
      <c r="I12" t="s">
        <v>22</v>
      </c>
      <c r="J12" t="s">
        <v>87</v>
      </c>
    </row>
    <row r="13" spans="1:10" x14ac:dyDescent="0.25">
      <c r="A13" s="1"/>
      <c r="B13" s="39" t="s">
        <v>18</v>
      </c>
      <c r="C13" s="1">
        <v>589.28828506790376</v>
      </c>
      <c r="D13" s="1">
        <v>28.732588601511072</v>
      </c>
      <c r="F13" s="26" t="s">
        <v>40</v>
      </c>
      <c r="G13" s="27">
        <v>5</v>
      </c>
      <c r="H13" s="27">
        <v>8</v>
      </c>
      <c r="I13" s="27">
        <v>7</v>
      </c>
      <c r="J13" s="27">
        <v>20</v>
      </c>
    </row>
    <row r="14" spans="1:10" x14ac:dyDescent="0.25">
      <c r="A14" s="1"/>
      <c r="B14" s="39" t="s">
        <v>23</v>
      </c>
      <c r="C14" s="1">
        <v>610.0544182320325</v>
      </c>
      <c r="D14" s="1">
        <v>34.636764374417702</v>
      </c>
      <c r="F14" s="26" t="s">
        <v>15</v>
      </c>
      <c r="G14" s="27">
        <v>2</v>
      </c>
      <c r="H14" s="27">
        <v>7</v>
      </c>
      <c r="I14" s="27">
        <v>7</v>
      </c>
      <c r="J14" s="27">
        <v>16</v>
      </c>
    </row>
    <row r="15" spans="1:10" x14ac:dyDescent="0.25">
      <c r="A15" s="1"/>
      <c r="B15" s="39" t="s">
        <v>11</v>
      </c>
      <c r="C15" s="1">
        <v>617.03483424453532</v>
      </c>
      <c r="D15" s="1">
        <v>34.687412897372106</v>
      </c>
      <c r="F15" s="26" t="s">
        <v>8</v>
      </c>
      <c r="G15" s="27">
        <v>7</v>
      </c>
      <c r="H15" s="27">
        <v>8</v>
      </c>
      <c r="I15" s="27">
        <v>7</v>
      </c>
      <c r="J15" s="27">
        <v>22</v>
      </c>
    </row>
    <row r="16" spans="1:10" x14ac:dyDescent="0.25">
      <c r="A16" s="1"/>
      <c r="B16" s="39" t="s">
        <v>35</v>
      </c>
      <c r="C16" s="1">
        <v>426.42029346766645</v>
      </c>
      <c r="D16" s="1">
        <v>30.837992070155419</v>
      </c>
      <c r="F16" s="26" t="s">
        <v>21</v>
      </c>
      <c r="G16" s="27">
        <v>7</v>
      </c>
      <c r="H16" s="27">
        <v>3</v>
      </c>
      <c r="I16" s="27">
        <v>9</v>
      </c>
      <c r="J16" s="27">
        <v>19</v>
      </c>
    </row>
    <row r="17" spans="1:10" x14ac:dyDescent="0.25">
      <c r="A17" s="1"/>
      <c r="B17" s="38" t="s">
        <v>15</v>
      </c>
      <c r="C17" s="1">
        <v>524.44337707102318</v>
      </c>
      <c r="D17" s="1">
        <v>29.735904408221245</v>
      </c>
      <c r="F17" s="26" t="s">
        <v>25</v>
      </c>
      <c r="G17" s="27">
        <v>10</v>
      </c>
      <c r="H17" s="27">
        <v>5</v>
      </c>
      <c r="I17" s="27">
        <v>8</v>
      </c>
      <c r="J17" s="27">
        <v>23</v>
      </c>
    </row>
    <row r="18" spans="1:10" x14ac:dyDescent="0.25">
      <c r="A18" s="1"/>
      <c r="B18" s="39" t="s">
        <v>18</v>
      </c>
      <c r="C18" s="1">
        <v>364.96997048899561</v>
      </c>
      <c r="D18" s="1">
        <v>31.915470714460316</v>
      </c>
      <c r="F18" s="26" t="s">
        <v>87</v>
      </c>
      <c r="G18" s="27">
        <v>31</v>
      </c>
      <c r="H18" s="27">
        <v>31</v>
      </c>
      <c r="I18" s="27">
        <v>38</v>
      </c>
      <c r="J18" s="27">
        <v>100</v>
      </c>
    </row>
    <row r="19" spans="1:10" x14ac:dyDescent="0.25">
      <c r="A19" s="1"/>
      <c r="B19" s="39" t="s">
        <v>23</v>
      </c>
      <c r="C19" s="1">
        <v>483.22889255102848</v>
      </c>
      <c r="D19" s="1">
        <v>29.419467540370853</v>
      </c>
    </row>
    <row r="20" spans="1:10" x14ac:dyDescent="0.25">
      <c r="A20" s="1"/>
      <c r="B20" s="39" t="s">
        <v>11</v>
      </c>
      <c r="C20" s="1">
        <v>579.92820635051544</v>
      </c>
      <c r="D20" s="1">
        <v>30.78337277971125</v>
      </c>
    </row>
    <row r="21" spans="1:10" x14ac:dyDescent="0.25">
      <c r="A21" s="1"/>
      <c r="B21" s="39" t="s">
        <v>35</v>
      </c>
      <c r="C21" s="1">
        <v>640.08170837804494</v>
      </c>
      <c r="D21" s="1">
        <v>27.449307391864934</v>
      </c>
      <c r="F21" s="26" t="s">
        <v>143</v>
      </c>
    </row>
    <row r="22" spans="1:10" x14ac:dyDescent="0.25">
      <c r="A22" s="1"/>
      <c r="B22" s="38" t="s">
        <v>8</v>
      </c>
      <c r="C22" s="1">
        <v>541.44770516031986</v>
      </c>
      <c r="D22" s="1">
        <v>32.71772073984193</v>
      </c>
    </row>
    <row r="23" spans="1:10" x14ac:dyDescent="0.25">
      <c r="A23" s="1"/>
      <c r="B23" s="39" t="s">
        <v>18</v>
      </c>
      <c r="C23" s="1">
        <v>494.18400955019712</v>
      </c>
      <c r="D23" s="1">
        <v>34.852147654324263</v>
      </c>
      <c r="F23" s="37" t="s">
        <v>138</v>
      </c>
      <c r="G23" s="37" t="s">
        <v>135</v>
      </c>
      <c r="H23" s="1"/>
      <c r="I23" s="1"/>
      <c r="J23" s="1"/>
    </row>
    <row r="24" spans="1:10" x14ac:dyDescent="0.25">
      <c r="A24" s="1"/>
      <c r="B24" s="39" t="s">
        <v>23</v>
      </c>
      <c r="C24" s="1">
        <v>561.32432274023222</v>
      </c>
      <c r="D24" s="1">
        <v>32.005509203528874</v>
      </c>
      <c r="F24" s="37" t="s">
        <v>86</v>
      </c>
      <c r="G24" s="1" t="s">
        <v>16</v>
      </c>
      <c r="H24" s="1" t="s">
        <v>9</v>
      </c>
      <c r="I24" s="1" t="s">
        <v>22</v>
      </c>
      <c r="J24" s="1" t="s">
        <v>87</v>
      </c>
    </row>
    <row r="25" spans="1:10" x14ac:dyDescent="0.25">
      <c r="A25" s="1"/>
      <c r="B25" s="39" t="s">
        <v>11</v>
      </c>
      <c r="C25" s="1">
        <v>515.30452564434302</v>
      </c>
      <c r="D25" s="1">
        <v>29.082502467510455</v>
      </c>
      <c r="F25" s="38" t="s">
        <v>40</v>
      </c>
      <c r="G25" s="1">
        <v>2986.3771450970639</v>
      </c>
      <c r="H25" s="1">
        <v>4932.1077228136437</v>
      </c>
      <c r="I25" s="1">
        <v>3648.9868195270892</v>
      </c>
      <c r="J25" s="1">
        <v>11567.471687437795</v>
      </c>
    </row>
    <row r="26" spans="1:10" x14ac:dyDescent="0.25">
      <c r="A26" s="1"/>
      <c r="B26" s="39" t="s">
        <v>35</v>
      </c>
      <c r="C26" s="1">
        <v>589.27507672045874</v>
      </c>
      <c r="D26" s="1">
        <v>33.891774456987044</v>
      </c>
      <c r="F26" s="38" t="s">
        <v>15</v>
      </c>
      <c r="G26" s="1">
        <v>1054.1070491675746</v>
      </c>
      <c r="H26" s="1">
        <v>3590.3740168665468</v>
      </c>
      <c r="I26" s="1">
        <v>3746.6129671022491</v>
      </c>
      <c r="J26" s="1">
        <v>8391.0940331363709</v>
      </c>
    </row>
    <row r="27" spans="1:10" x14ac:dyDescent="0.25">
      <c r="A27" s="1"/>
      <c r="B27" s="38" t="s">
        <v>21</v>
      </c>
      <c r="C27" s="1">
        <v>519.44243836717919</v>
      </c>
      <c r="D27" s="1">
        <v>32.597943473849938</v>
      </c>
      <c r="F27" s="38" t="s">
        <v>8</v>
      </c>
      <c r="G27" s="1">
        <v>3275.2098370069898</v>
      </c>
      <c r="H27" s="1">
        <v>3896.4300414781696</v>
      </c>
      <c r="I27" s="1">
        <v>4740.2096350418778</v>
      </c>
      <c r="J27" s="1">
        <v>11911.849513527037</v>
      </c>
    </row>
    <row r="28" spans="1:10" x14ac:dyDescent="0.25">
      <c r="A28" s="1"/>
      <c r="B28" s="39" t="s">
        <v>18</v>
      </c>
      <c r="C28" s="1">
        <v>486.97261412333557</v>
      </c>
      <c r="D28" s="1">
        <v>32.421431183569254</v>
      </c>
      <c r="F28" s="38" t="s">
        <v>21</v>
      </c>
      <c r="G28" s="1">
        <v>3153.8402656517997</v>
      </c>
      <c r="H28" s="1">
        <v>1468.5473269343704</v>
      </c>
      <c r="I28" s="1">
        <v>5247.0187363902314</v>
      </c>
      <c r="J28" s="1">
        <v>9869.4063289764017</v>
      </c>
    </row>
    <row r="29" spans="1:10" x14ac:dyDescent="0.25">
      <c r="A29" s="1"/>
      <c r="B29" s="39" t="s">
        <v>23</v>
      </c>
      <c r="C29" s="1">
        <v>471.797899990953</v>
      </c>
      <c r="D29" s="1">
        <v>30.74044024705351</v>
      </c>
      <c r="F29" s="38" t="s">
        <v>25</v>
      </c>
      <c r="G29" s="1">
        <v>4965.8131663080076</v>
      </c>
      <c r="H29" s="1">
        <v>2360.5177945568385</v>
      </c>
      <c r="I29" s="1">
        <v>4460.7757345860609</v>
      </c>
      <c r="J29" s="1">
        <v>11787.106695450908</v>
      </c>
    </row>
    <row r="30" spans="1:10" x14ac:dyDescent="0.25">
      <c r="A30" s="1"/>
      <c r="B30" s="39" t="s">
        <v>11</v>
      </c>
      <c r="C30" s="1">
        <v>595.72530825603417</v>
      </c>
      <c r="D30" s="1">
        <v>33.125311860349029</v>
      </c>
      <c r="F30" s="38" t="s">
        <v>87</v>
      </c>
      <c r="G30" s="1">
        <v>15435.347463231436</v>
      </c>
      <c r="H30" s="1">
        <v>16247.976902649571</v>
      </c>
      <c r="I30" s="1">
        <v>21843.603892647508</v>
      </c>
      <c r="J30" s="1">
        <v>53526.928258528511</v>
      </c>
    </row>
    <row r="31" spans="1:10" x14ac:dyDescent="0.25">
      <c r="A31" s="1"/>
      <c r="B31" s="39" t="s">
        <v>35</v>
      </c>
      <c r="C31" s="1">
        <v>514.70200443890064</v>
      </c>
      <c r="D31" s="1">
        <v>37.029628720443739</v>
      </c>
    </row>
    <row r="32" spans="1:10" x14ac:dyDescent="0.25">
      <c r="A32" s="1"/>
      <c r="B32" s="38" t="s">
        <v>25</v>
      </c>
      <c r="C32" s="1">
        <v>512.4828998022133</v>
      </c>
      <c r="D32" s="1">
        <v>30.207728141650705</v>
      </c>
    </row>
    <row r="33" spans="1:5" x14ac:dyDescent="0.25">
      <c r="A33" s="1"/>
      <c r="B33" s="39" t="s">
        <v>18</v>
      </c>
      <c r="C33" s="1">
        <v>475.35180998011737</v>
      </c>
      <c r="D33" s="1">
        <v>34.684569363896053</v>
      </c>
    </row>
    <row r="34" spans="1:5" x14ac:dyDescent="0.25">
      <c r="A34" s="1"/>
      <c r="B34" s="39" t="s">
        <v>23</v>
      </c>
      <c r="C34" s="1">
        <v>520.96917396957861</v>
      </c>
      <c r="D34" s="1">
        <v>30.126044478606143</v>
      </c>
    </row>
    <row r="35" spans="1:5" x14ac:dyDescent="0.25">
      <c r="A35" s="1"/>
      <c r="B35" s="39" t="s">
        <v>11</v>
      </c>
      <c r="C35" s="1">
        <v>483.81190296796723</v>
      </c>
      <c r="D35" s="1">
        <v>27.800734460672885</v>
      </c>
    </row>
    <row r="36" spans="1:5" x14ac:dyDescent="0.25">
      <c r="A36" s="1"/>
      <c r="B36" s="39" t="s">
        <v>35</v>
      </c>
      <c r="C36" s="1">
        <v>600.61115868020295</v>
      </c>
      <c r="D36" s="1">
        <v>32.394587724479862</v>
      </c>
      <c r="E36" s="1"/>
    </row>
    <row r="37" spans="1:5" x14ac:dyDescent="0.25">
      <c r="B37" s="38" t="s">
        <v>87</v>
      </c>
      <c r="C37" s="1">
        <v>535.26928258528517</v>
      </c>
      <c r="D37" s="1">
        <v>31.559208071450325</v>
      </c>
      <c r="E37" s="1"/>
    </row>
  </sheetData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D4A2-989A-444D-AD20-BEA5218CB136}">
  <dimension ref="A2:I20"/>
  <sheetViews>
    <sheetView tabSelected="1" workbookViewId="0">
      <selection activeCell="A20" sqref="A20"/>
    </sheetView>
  </sheetViews>
  <sheetFormatPr defaultRowHeight="15.75" x14ac:dyDescent="0.25"/>
  <sheetData>
    <row r="2" spans="1:9" x14ac:dyDescent="0.25">
      <c r="A2" t="s">
        <v>134</v>
      </c>
      <c r="I2" t="s">
        <v>146</v>
      </c>
    </row>
    <row r="20" spans="1:1" x14ac:dyDescent="0.25">
      <c r="A20" t="s">
        <v>141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DF63-DEF4-496E-9830-ABA4F33007A2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D98C-F8E6-4C24-9CB2-65ACEF6DE1AC}">
  <dimension ref="A1:W101"/>
  <sheetViews>
    <sheetView topLeftCell="C1" workbookViewId="0">
      <selection activeCell="U26" sqref="U26"/>
    </sheetView>
  </sheetViews>
  <sheetFormatPr defaultRowHeight="15.75" x14ac:dyDescent="0.25"/>
  <cols>
    <col min="2" max="2" width="12.375" bestFit="1" customWidth="1"/>
    <col min="3" max="3" width="12" bestFit="1" customWidth="1"/>
    <col min="13" max="13" width="17.375" bestFit="1" customWidth="1"/>
    <col min="14" max="14" width="9.375" bestFit="1" customWidth="1"/>
    <col min="18" max="18" width="12.5" bestFit="1" customWidth="1"/>
  </cols>
  <sheetData>
    <row r="1" spans="1:21" x14ac:dyDescent="0.25">
      <c r="A1" s="5" t="str">
        <f>[3]Data!J1</f>
        <v>Sales</v>
      </c>
      <c r="B1" s="5" t="str">
        <f>[3]Data!K1</f>
        <v>Quantity Sold</v>
      </c>
      <c r="C1" s="5" t="str">
        <f>[3]Data!N1</f>
        <v>Profit Margin</v>
      </c>
    </row>
    <row r="2" spans="1:21" x14ac:dyDescent="0.25">
      <c r="A2" s="1">
        <f>[3]Data!J2</f>
        <v>619.41733832886609</v>
      </c>
      <c r="B2" s="3">
        <f>[3]Data!K2</f>
        <v>36.148044477110183</v>
      </c>
      <c r="C2" s="4">
        <f>[3]Data!N2</f>
        <v>0.28936177079024888</v>
      </c>
      <c r="E2" t="s">
        <v>114</v>
      </c>
      <c r="O2" t="s">
        <v>133</v>
      </c>
      <c r="P2">
        <v>0.1</v>
      </c>
    </row>
    <row r="3" spans="1:21" x14ac:dyDescent="0.25">
      <c r="A3" s="1">
        <f>[3]Data!J3</f>
        <v>886.1339798802187</v>
      </c>
      <c r="B3" s="3">
        <f>[3]Data!K3</f>
        <v>22.67066139610537</v>
      </c>
      <c r="C3" s="4">
        <f>[3]Data!N3</f>
        <v>0.2207370029864176</v>
      </c>
      <c r="M3" s="1" t="s">
        <v>115</v>
      </c>
      <c r="N3" s="1"/>
      <c r="O3" s="1"/>
      <c r="P3" s="1"/>
      <c r="Q3" s="1"/>
      <c r="R3" s="1"/>
      <c r="S3" s="1"/>
      <c r="T3" s="1"/>
      <c r="U3" s="1"/>
    </row>
    <row r="4" spans="1:21" ht="16.5" thickBot="1" x14ac:dyDescent="0.3">
      <c r="A4" s="1">
        <f>[3]Data!J4</f>
        <v>449.13093283360729</v>
      </c>
      <c r="B4" s="3">
        <f>[3]Data!K4</f>
        <v>25.659829377999021</v>
      </c>
      <c r="C4" s="4">
        <f>[3]Data!N4</f>
        <v>0.25439927348418562</v>
      </c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>
        <f>[3]Data!J5</f>
        <v>610.02358125508351</v>
      </c>
      <c r="B5" s="3">
        <f>[3]Data!K5</f>
        <v>22.71292327512996</v>
      </c>
      <c r="C5" s="4">
        <f>[3]Data!N5</f>
        <v>0.30629010595447159</v>
      </c>
      <c r="M5" s="32" t="s">
        <v>116</v>
      </c>
      <c r="N5" s="32"/>
      <c r="O5" s="1"/>
      <c r="P5" s="1"/>
      <c r="Q5" s="1"/>
      <c r="R5" s="1"/>
      <c r="S5" s="1"/>
      <c r="T5" s="1"/>
      <c r="U5" s="1"/>
    </row>
    <row r="6" spans="1:21" x14ac:dyDescent="0.25">
      <c r="A6" s="1">
        <f>[3]Data!J6</f>
        <v>364.7761269469521</v>
      </c>
      <c r="B6" s="3">
        <f>[3]Data!K6</f>
        <v>22.17917729923893</v>
      </c>
      <c r="C6" s="4">
        <f>[3]Data!N6</f>
        <v>0.21021883294682961</v>
      </c>
      <c r="M6" s="9" t="s">
        <v>117</v>
      </c>
      <c r="N6" s="9">
        <v>0.64905613347705171</v>
      </c>
      <c r="O6" s="1"/>
      <c r="P6" s="1"/>
      <c r="Q6" s="1"/>
      <c r="R6" s="1"/>
      <c r="S6" s="1"/>
      <c r="T6" s="1"/>
      <c r="U6" s="1"/>
    </row>
    <row r="7" spans="1:21" x14ac:dyDescent="0.25">
      <c r="A7" s="1">
        <f>[3]Data!J7</f>
        <v>576.61392133806294</v>
      </c>
      <c r="B7" s="3">
        <f>[3]Data!K7</f>
        <v>32.112950746165673</v>
      </c>
      <c r="C7" s="4">
        <f>[3]Data!N7</f>
        <v>0.29212239699142872</v>
      </c>
      <c r="M7" s="21" t="s">
        <v>118</v>
      </c>
      <c r="N7" s="21">
        <v>0.42127386440418041</v>
      </c>
      <c r="O7" s="1"/>
      <c r="P7" s="1"/>
      <c r="Q7" s="1"/>
      <c r="R7" s="1"/>
      <c r="S7" s="1"/>
      <c r="T7" s="1"/>
      <c r="U7" s="1"/>
    </row>
    <row r="8" spans="1:21" x14ac:dyDescent="0.25">
      <c r="A8" s="1">
        <f>[3]Data!J8</f>
        <v>449.13093283360729</v>
      </c>
      <c r="B8" s="3">
        <f>[3]Data!K8</f>
        <v>34.168209673514582</v>
      </c>
      <c r="C8" s="4">
        <f>[3]Data!N8</f>
        <v>0.31072854455321491</v>
      </c>
      <c r="M8" s="9" t="s">
        <v>119</v>
      </c>
      <c r="N8" s="9">
        <v>0.40934136676302946</v>
      </c>
      <c r="O8" s="1"/>
      <c r="P8" s="1"/>
      <c r="Q8" s="1"/>
      <c r="R8" s="1"/>
      <c r="S8" s="1"/>
      <c r="T8" s="1"/>
      <c r="U8" s="1"/>
    </row>
    <row r="9" spans="1:21" x14ac:dyDescent="0.25">
      <c r="A9" s="1">
        <f>[3]Data!J9</f>
        <v>372.90517238163818</v>
      </c>
      <c r="B9" s="3">
        <f>[3]Data!K9</f>
        <v>32.509503541037532</v>
      </c>
      <c r="C9" s="4">
        <f>[3]Data!N9</f>
        <v>0.2110494352398164</v>
      </c>
      <c r="M9" s="9" t="s">
        <v>51</v>
      </c>
      <c r="N9" s="9">
        <v>4.7856520267719985E-2</v>
      </c>
      <c r="O9" s="1"/>
      <c r="P9" s="1"/>
      <c r="Q9" s="1"/>
      <c r="R9" s="1"/>
      <c r="S9" s="1"/>
      <c r="T9" s="1"/>
      <c r="U9" s="1"/>
    </row>
    <row r="10" spans="1:21" ht="16.5" thickBot="1" x14ac:dyDescent="0.3">
      <c r="A10" s="1">
        <f>[3]Data!J10</f>
        <v>545.77266574920179</v>
      </c>
      <c r="B10" s="3">
        <f>[3]Data!K10</f>
        <v>28.966599379394442</v>
      </c>
      <c r="C10" s="4">
        <f>[3]Data!N10</f>
        <v>0.27918051659162052</v>
      </c>
      <c r="M10" s="10" t="s">
        <v>67</v>
      </c>
      <c r="N10" s="10">
        <v>100</v>
      </c>
      <c r="O10" s="1"/>
      <c r="P10" s="1"/>
      <c r="Q10" s="1"/>
      <c r="R10" s="1"/>
      <c r="S10" s="1"/>
      <c r="T10" s="1"/>
      <c r="U10" s="1"/>
    </row>
    <row r="11" spans="1:21" x14ac:dyDescent="0.25">
      <c r="A11" s="1">
        <f>[3]Data!J11</f>
        <v>413.90524534251369</v>
      </c>
      <c r="B11" s="3">
        <f>[3]Data!K11</f>
        <v>22.800456610910508</v>
      </c>
      <c r="C11" s="4">
        <f>[3]Data!N11</f>
        <v>0.22284298272060979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ht="16.5" thickBot="1" x14ac:dyDescent="0.3">
      <c r="A12" s="1">
        <f>[3]Data!J12</f>
        <v>600.05114910613997</v>
      </c>
      <c r="B12" s="3">
        <f>[3]Data!K12</f>
        <v>37.920198615682011</v>
      </c>
      <c r="C12" s="4">
        <f>[3]Data!N12</f>
        <v>0.29895452589316301</v>
      </c>
      <c r="M12" s="1" t="s">
        <v>97</v>
      </c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>
        <f>[3]Data!J13</f>
        <v>726.81693567394757</v>
      </c>
      <c r="B13" s="3">
        <f>[3]Data!K13</f>
        <v>34.168209673514582</v>
      </c>
      <c r="C13" s="4">
        <f>[3]Data!N13</f>
        <v>0.35155019849350672</v>
      </c>
      <c r="M13" s="8"/>
      <c r="N13" s="8" t="s">
        <v>70</v>
      </c>
      <c r="O13" s="8" t="s">
        <v>99</v>
      </c>
      <c r="P13" s="8" t="s">
        <v>100</v>
      </c>
      <c r="Q13" s="8" t="s">
        <v>101</v>
      </c>
      <c r="R13" s="8" t="s">
        <v>123</v>
      </c>
      <c r="S13" s="1"/>
      <c r="T13" s="1"/>
      <c r="U13" s="1"/>
    </row>
    <row r="14" spans="1:21" x14ac:dyDescent="0.25">
      <c r="A14" s="1">
        <f>[3]Data!J14</f>
        <v>491.90097738880718</v>
      </c>
      <c r="B14" s="3">
        <f>[3]Data!K14</f>
        <v>34.509555299643331</v>
      </c>
      <c r="C14" s="4">
        <f>[3]Data!N14</f>
        <v>0.25465478640020989</v>
      </c>
      <c r="M14" s="9" t="s">
        <v>120</v>
      </c>
      <c r="N14" s="9">
        <v>2</v>
      </c>
      <c r="O14" s="9">
        <v>0.16171316953851012</v>
      </c>
      <c r="P14" s="9">
        <v>8.0856584769255058E-2</v>
      </c>
      <c r="Q14" s="9">
        <v>35.304751534277067</v>
      </c>
      <c r="R14" s="21">
        <v>3.0195703045063354E-12</v>
      </c>
      <c r="S14" s="1"/>
      <c r="T14" s="1"/>
      <c r="U14" s="1"/>
    </row>
    <row r="15" spans="1:21" x14ac:dyDescent="0.25">
      <c r="A15" s="1">
        <f>[3]Data!J15</f>
        <v>497.81317760107709</v>
      </c>
      <c r="B15" s="3">
        <f>[3]Data!K15</f>
        <v>34.233542912614041</v>
      </c>
      <c r="C15" s="4">
        <f>[3]Data!N15</f>
        <v>0.2680229457328035</v>
      </c>
      <c r="M15" s="9" t="s">
        <v>121</v>
      </c>
      <c r="N15" s="9">
        <v>97</v>
      </c>
      <c r="O15" s="9">
        <v>0.22215391361706527</v>
      </c>
      <c r="P15" s="9">
        <v>2.2902465321346936E-3</v>
      </c>
      <c r="Q15" s="9"/>
      <c r="R15" s="9"/>
      <c r="S15" s="1"/>
      <c r="T15" s="1"/>
      <c r="U15" s="1"/>
    </row>
    <row r="16" spans="1:21" ht="16.5" thickBot="1" x14ac:dyDescent="0.3">
      <c r="A16" s="1">
        <f>[3]Data!J16</f>
        <v>734.54360210915809</v>
      </c>
      <c r="B16" s="3">
        <f>[3]Data!K16</f>
        <v>38.91018632957595</v>
      </c>
      <c r="C16" s="4">
        <f>[3]Data!N16</f>
        <v>0.35719492828615568</v>
      </c>
      <c r="M16" s="10" t="s">
        <v>106</v>
      </c>
      <c r="N16" s="10">
        <v>99</v>
      </c>
      <c r="O16" s="10">
        <v>0.38386708315557538</v>
      </c>
      <c r="P16" s="10"/>
      <c r="Q16" s="10"/>
      <c r="R16" s="10"/>
      <c r="S16" s="1"/>
      <c r="T16" s="1"/>
      <c r="U16" s="1"/>
    </row>
    <row r="17" spans="1:23" ht="16.5" thickBot="1" x14ac:dyDescent="0.3">
      <c r="A17" s="1">
        <f>[3]Data!J17</f>
        <v>610.02358125508351</v>
      </c>
      <c r="B17" s="3">
        <f>[3]Data!K17</f>
        <v>42.863547025446572</v>
      </c>
      <c r="C17" s="4">
        <f>[3]Data!N17</f>
        <v>0.40987566214717058</v>
      </c>
      <c r="M17" s="1"/>
      <c r="N17" s="1"/>
      <c r="O17" s="1"/>
      <c r="P17" s="1"/>
      <c r="Q17" s="1"/>
      <c r="R17" s="1"/>
      <c r="S17" s="1"/>
      <c r="T17" s="1"/>
      <c r="U17" s="1"/>
    </row>
    <row r="18" spans="1:23" x14ac:dyDescent="0.25">
      <c r="A18" s="1">
        <f>[3]Data!J18</f>
        <v>614.24978057956264</v>
      </c>
      <c r="B18" s="3">
        <f>[3]Data!K18</f>
        <v>34.481965046749572</v>
      </c>
      <c r="C18" s="4">
        <f>[3]Data!N18</f>
        <v>0.31830109051492927</v>
      </c>
      <c r="M18" s="8"/>
      <c r="N18" s="8" t="s">
        <v>124</v>
      </c>
      <c r="O18" s="8" t="s">
        <v>51</v>
      </c>
      <c r="P18" s="8" t="s">
        <v>71</v>
      </c>
      <c r="Q18" s="8" t="s">
        <v>102</v>
      </c>
      <c r="R18" s="8" t="s">
        <v>125</v>
      </c>
      <c r="S18" s="8" t="s">
        <v>126</v>
      </c>
      <c r="T18" s="8" t="s">
        <v>127</v>
      </c>
      <c r="U18" s="8" t="s">
        <v>128</v>
      </c>
    </row>
    <row r="19" spans="1:23" x14ac:dyDescent="0.25">
      <c r="A19" s="1">
        <f>[3]Data!J19</f>
        <v>291.05760965024848</v>
      </c>
      <c r="B19" s="3">
        <f>[3]Data!K19</f>
        <v>19.701526021482589</v>
      </c>
      <c r="C19" s="4">
        <f>[3]Data!N19</f>
        <v>0.17712869665622341</v>
      </c>
      <c r="M19" s="9" t="s">
        <v>122</v>
      </c>
      <c r="N19" s="21">
        <v>8.6092202036469168E-2</v>
      </c>
      <c r="O19" s="9">
        <v>2.5632715353108088E-2</v>
      </c>
      <c r="P19" s="9">
        <v>3.3586844331741887</v>
      </c>
      <c r="Q19" s="33">
        <v>1.1203812203954963E-3</v>
      </c>
      <c r="R19" s="9">
        <v>3.5218357554658929E-2</v>
      </c>
      <c r="S19" s="9">
        <v>0.1369660465182794</v>
      </c>
      <c r="T19" s="9">
        <v>4.3523577152437778E-2</v>
      </c>
      <c r="U19" s="9">
        <v>0.12866082692050057</v>
      </c>
    </row>
    <row r="20" spans="1:23" x14ac:dyDescent="0.25">
      <c r="A20" s="1">
        <f>[3]Data!J20</f>
        <v>696.81069761586082</v>
      </c>
      <c r="B20" s="3">
        <f>[3]Data!K20</f>
        <v>30.21220372182901</v>
      </c>
      <c r="C20" s="4">
        <f>[3]Data!N20</f>
        <v>0.28515499329898969</v>
      </c>
      <c r="M20" s="9" t="s">
        <v>46</v>
      </c>
      <c r="N20" s="18">
        <v>1.8774322716100543E-4</v>
      </c>
      <c r="O20" s="9">
        <v>3.1179520672693262E-5</v>
      </c>
      <c r="P20" s="9">
        <v>6.0213634818776809</v>
      </c>
      <c r="Q20" s="9">
        <v>3.0905071102843191E-8</v>
      </c>
      <c r="R20" s="9">
        <v>1.2586050955310879E-4</v>
      </c>
      <c r="S20" s="9">
        <v>2.4962594476890206E-4</v>
      </c>
      <c r="T20" s="9">
        <v>1.3596294164323083E-4</v>
      </c>
      <c r="U20" s="9">
        <v>2.3952351267878002E-4</v>
      </c>
    </row>
    <row r="21" spans="1:23" ht="16.5" thickBot="1" x14ac:dyDescent="0.3">
      <c r="A21" s="1">
        <f>[3]Data!J21</f>
        <v>551.57500310812304</v>
      </c>
      <c r="B21" s="3">
        <f>[3]Data!K21</f>
        <v>42.328424856528947</v>
      </c>
      <c r="C21" s="4">
        <f>[3]Data!N21</f>
        <v>0.34135721988956752</v>
      </c>
      <c r="M21" s="10" t="s">
        <v>47</v>
      </c>
      <c r="N21" s="34">
        <v>3.177989599338198E-3</v>
      </c>
      <c r="O21" s="10">
        <v>7.2684022241168583E-4</v>
      </c>
      <c r="P21" s="10">
        <v>4.3723359018210326</v>
      </c>
      <c r="Q21" s="10">
        <v>3.0910813769110237E-5</v>
      </c>
      <c r="R21" s="10">
        <v>1.7354129573901643E-3</v>
      </c>
      <c r="S21" s="10">
        <v>4.6205662412862319E-3</v>
      </c>
      <c r="T21" s="10">
        <v>1.970915422754042E-3</v>
      </c>
      <c r="U21" s="10">
        <v>4.385063775922354E-3</v>
      </c>
    </row>
    <row r="22" spans="1:23" x14ac:dyDescent="0.25">
      <c r="A22" s="1">
        <f>[3]Data!J22</f>
        <v>495.58882510192927</v>
      </c>
      <c r="B22" s="3">
        <f>[3]Data!K22</f>
        <v>25.761026144140789</v>
      </c>
      <c r="C22" s="4">
        <f>[3]Data!N22</f>
        <v>0.25651376000433213</v>
      </c>
      <c r="M22" s="1"/>
      <c r="N22" s="1"/>
      <c r="O22" s="1"/>
      <c r="P22" s="1"/>
      <c r="Q22" s="1"/>
      <c r="R22" s="1"/>
      <c r="S22" s="1"/>
      <c r="T22" s="1"/>
      <c r="U22" s="1"/>
    </row>
    <row r="23" spans="1:23" x14ac:dyDescent="0.25">
      <c r="A23" s="1">
        <f>[3]Data!J23</f>
        <v>252.880529766411</v>
      </c>
      <c r="B23" s="3">
        <f>[3]Data!K23</f>
        <v>32.124851019620138</v>
      </c>
      <c r="C23" s="4">
        <f>[3]Data!N23</f>
        <v>0.14962905137318741</v>
      </c>
      <c r="M23" s="1"/>
      <c r="N23" s="1"/>
      <c r="O23" s="1"/>
      <c r="P23" s="1"/>
      <c r="Q23" s="1"/>
      <c r="R23" s="1"/>
      <c r="S23" s="1"/>
      <c r="T23" s="1"/>
      <c r="U23" s="1"/>
    </row>
    <row r="24" spans="1:23" x14ac:dyDescent="0.25">
      <c r="A24" s="1">
        <f>[3]Data!J24</f>
        <v>294.05947140624812</v>
      </c>
      <c r="B24" s="3">
        <f>[3]Data!K24</f>
        <v>42.450393069510469</v>
      </c>
      <c r="C24" s="4">
        <f>[3]Data!N24</f>
        <v>0.18294062777081871</v>
      </c>
      <c r="M24" s="1" t="s">
        <v>49</v>
      </c>
      <c r="N24" s="1" t="s">
        <v>130</v>
      </c>
      <c r="O24" s="1">
        <f>N19</f>
        <v>8.6092202036469168E-2</v>
      </c>
      <c r="P24" s="1" t="s">
        <v>129</v>
      </c>
      <c r="Q24" s="1" t="s">
        <v>46</v>
      </c>
      <c r="R24" s="1" t="s">
        <v>131</v>
      </c>
      <c r="S24" s="15">
        <f>N20</f>
        <v>1.8774322716100543E-4</v>
      </c>
      <c r="T24" s="1" t="s">
        <v>129</v>
      </c>
      <c r="U24" s="1" t="s">
        <v>132</v>
      </c>
      <c r="V24" s="1" t="s">
        <v>131</v>
      </c>
      <c r="W24" s="15">
        <f>N21</f>
        <v>3.177989599338198E-3</v>
      </c>
    </row>
    <row r="25" spans="1:23" x14ac:dyDescent="0.25">
      <c r="A25" s="1">
        <f>[3]Data!J25</f>
        <v>521.92242249612491</v>
      </c>
      <c r="B25" s="3">
        <f>[3]Data!K25</f>
        <v>27.640040591643441</v>
      </c>
      <c r="C25" s="4">
        <f>[3]Data!N25</f>
        <v>0.27367669906443659</v>
      </c>
      <c r="M25" s="15">
        <f>O25+(Q25*S25)+(U25*W25)</f>
        <v>0.28654080670198034</v>
      </c>
      <c r="O25" s="1">
        <f>O24</f>
        <v>8.6092202036469168E-2</v>
      </c>
      <c r="Q25" s="31">
        <v>526</v>
      </c>
      <c r="S25" s="15">
        <f>S24</f>
        <v>1.8774322716100543E-4</v>
      </c>
      <c r="U25" s="31">
        <v>32</v>
      </c>
      <c r="W25" s="15">
        <f>W24</f>
        <v>3.177989599338198E-3</v>
      </c>
    </row>
    <row r="26" spans="1:23" x14ac:dyDescent="0.25">
      <c r="A26" s="1">
        <f>[3]Data!J26</f>
        <v>415.68001582094871</v>
      </c>
      <c r="B26" s="3">
        <f>[3]Data!K26</f>
        <v>23.1050477214369</v>
      </c>
      <c r="C26" s="4">
        <f>[3]Data!N26</f>
        <v>0.22479924456866621</v>
      </c>
    </row>
    <row r="27" spans="1:23" x14ac:dyDescent="0.25">
      <c r="A27" s="1">
        <f>[3]Data!J27</f>
        <v>463.17255028533771</v>
      </c>
      <c r="B27" s="3">
        <f>[3]Data!K27</f>
        <v>25.06958002405791</v>
      </c>
      <c r="C27" s="4">
        <f>[3]Data!N27</f>
        <v>0.25128814980901171</v>
      </c>
    </row>
    <row r="28" spans="1:23" x14ac:dyDescent="0.25">
      <c r="A28" s="1">
        <f>[3]Data!J28</f>
        <v>720.91010268149512</v>
      </c>
      <c r="B28" s="3">
        <f>[3]Data!K28</f>
        <v>37.446775253972348</v>
      </c>
      <c r="C28" s="4">
        <f>[3]Data!N28</f>
        <v>0.34981255561364211</v>
      </c>
    </row>
    <row r="29" spans="1:23" x14ac:dyDescent="0.25">
      <c r="A29" s="1">
        <f>[3]Data!J29</f>
        <v>830.13369852249514</v>
      </c>
      <c r="B29" s="3">
        <f>[3]Data!K29</f>
        <v>34.093862468973867</v>
      </c>
      <c r="C29" s="4">
        <f>[3]Data!N29</f>
        <v>0.27568709704055427</v>
      </c>
    </row>
    <row r="30" spans="1:23" x14ac:dyDescent="0.25">
      <c r="A30" s="1">
        <f>[3]Data!J30</f>
        <v>573.45234536559701</v>
      </c>
      <c r="B30" s="3">
        <f>[3]Data!K30</f>
        <v>31.988254494707039</v>
      </c>
      <c r="C30" s="4">
        <f>[3]Data!N30</f>
        <v>0.2910865626887707</v>
      </c>
    </row>
    <row r="31" spans="1:23" x14ac:dyDescent="0.25">
      <c r="A31" s="1">
        <f>[3]Data!J31</f>
        <v>473.55217273725202</v>
      </c>
      <c r="B31" s="3">
        <f>[3]Data!K31</f>
        <v>25.403001481665331</v>
      </c>
      <c r="C31" s="4">
        <f>[3]Data!N31</f>
        <v>0.25301998160958439</v>
      </c>
    </row>
    <row r="32" spans="1:23" x14ac:dyDescent="0.25">
      <c r="A32" s="1">
        <f>[3]Data!J32</f>
        <v>545.77266574920179</v>
      </c>
      <c r="B32" s="3">
        <f>[3]Data!K32</f>
        <v>42.957474570995288</v>
      </c>
      <c r="C32" s="4">
        <f>[3]Data!N32</f>
        <v>0.28087418717400608</v>
      </c>
    </row>
    <row r="33" spans="1:3" x14ac:dyDescent="0.25">
      <c r="A33" s="1">
        <f>[3]Data!J33</f>
        <v>375.22752388249648</v>
      </c>
      <c r="B33" s="3">
        <f>[3]Data!K33</f>
        <v>32.509503541037532</v>
      </c>
      <c r="C33" s="4">
        <f>[3]Data!N33</f>
        <v>0.29589157319362352</v>
      </c>
    </row>
    <row r="34" spans="1:3" x14ac:dyDescent="0.25">
      <c r="A34" s="1">
        <f>[3]Data!J34</f>
        <v>610.02358125508351</v>
      </c>
      <c r="B34" s="3">
        <f>[3]Data!K34</f>
        <v>37.920198615682011</v>
      </c>
      <c r="C34" s="4">
        <f>[3]Data!N34</f>
        <v>0.3561087509382424</v>
      </c>
    </row>
    <row r="35" spans="1:3" x14ac:dyDescent="0.25">
      <c r="A35" s="1">
        <f>[3]Data!J35</f>
        <v>830.13369852249514</v>
      </c>
      <c r="B35" s="3">
        <f>[3]Data!K35</f>
        <v>23.33189768406957</v>
      </c>
      <c r="C35" s="4">
        <f>[3]Data!N35</f>
        <v>0.37607345777717149</v>
      </c>
    </row>
    <row r="36" spans="1:3" x14ac:dyDescent="0.25">
      <c r="A36" s="1">
        <f>[3]Data!J36</f>
        <v>307.91532286630729</v>
      </c>
      <c r="B36" s="3">
        <f>[3]Data!K36</f>
        <v>28.213310860324128</v>
      </c>
      <c r="C36" s="4">
        <f>[3]Data!N36</f>
        <v>0.18955232651186979</v>
      </c>
    </row>
    <row r="37" spans="1:3" x14ac:dyDescent="0.25">
      <c r="A37" s="1">
        <f>[3]Data!J37</f>
        <v>557.79180936942089</v>
      </c>
      <c r="B37" s="3">
        <f>[3]Data!K37</f>
        <v>29.54505596450246</v>
      </c>
      <c r="C37" s="4">
        <f>[3]Data!N37</f>
        <v>0.28130963365436612</v>
      </c>
    </row>
    <row r="38" spans="1:3" x14ac:dyDescent="0.25">
      <c r="A38" s="1">
        <f>[3]Data!J38</f>
        <v>449.13093283360729</v>
      </c>
      <c r="B38" s="3">
        <f>[3]Data!K38</f>
        <v>42.450393069510469</v>
      </c>
      <c r="C38" s="4">
        <f>[3]Data!N38</f>
        <v>0.24905707173957051</v>
      </c>
    </row>
    <row r="39" spans="1:3" x14ac:dyDescent="0.25">
      <c r="A39" s="1">
        <f>[3]Data!J39</f>
        <v>734.54360210915809</v>
      </c>
      <c r="B39" s="3">
        <f>[3]Data!K39</f>
        <v>36.148044477110183</v>
      </c>
      <c r="C39" s="4">
        <f>[3]Data!N39</f>
        <v>0.35867859413871878</v>
      </c>
    </row>
    <row r="40" spans="1:3" x14ac:dyDescent="0.25">
      <c r="A40" s="1">
        <f>[3]Data!J40</f>
        <v>252.880529766411</v>
      </c>
      <c r="B40" s="3">
        <f>[3]Data!K40</f>
        <v>35.14527034142445</v>
      </c>
      <c r="C40" s="4">
        <f>[3]Data!N40</f>
        <v>0.32331029713287818</v>
      </c>
    </row>
    <row r="41" spans="1:3" x14ac:dyDescent="0.25">
      <c r="A41" s="1">
        <f>[3]Data!J41</f>
        <v>708.1677590396705</v>
      </c>
      <c r="B41" s="3">
        <f>[3]Data!K41</f>
        <v>36.462644721053408</v>
      </c>
      <c r="C41" s="4">
        <f>[3]Data!N41</f>
        <v>0.34656380994048908</v>
      </c>
    </row>
    <row r="42" spans="1:3" x14ac:dyDescent="0.25">
      <c r="A42" s="1">
        <f>[3]Data!J42</f>
        <v>447.27848635895299</v>
      </c>
      <c r="B42" s="3">
        <f>[3]Data!K42</f>
        <v>42.957474570995288</v>
      </c>
      <c r="C42" s="4">
        <f>[3]Data!N42</f>
        <v>0.41054204530787919</v>
      </c>
    </row>
    <row r="43" spans="1:3" x14ac:dyDescent="0.25">
      <c r="A43" s="1">
        <f>[3]Data!J43</f>
        <v>890.46319359814106</v>
      </c>
      <c r="B43" s="3">
        <f>[3]Data!K43</f>
        <v>28.856357791851678</v>
      </c>
      <c r="C43" s="4">
        <f>[3]Data!N43</f>
        <v>0.45044823315321392</v>
      </c>
    </row>
    <row r="44" spans="1:3" x14ac:dyDescent="0.25">
      <c r="A44" s="1">
        <f>[3]Data!J44</f>
        <v>503.2671201808941</v>
      </c>
      <c r="B44" s="3">
        <f>[3]Data!K44</f>
        <v>26.96311664321771</v>
      </c>
      <c r="C44" s="4">
        <f>[3]Data!N44</f>
        <v>0.26813506639730089</v>
      </c>
    </row>
    <row r="45" spans="1:3" x14ac:dyDescent="0.25">
      <c r="A45" s="1">
        <f>[3]Data!J45</f>
        <v>421.88563910474119</v>
      </c>
      <c r="B45" s="3">
        <f>[3]Data!K45</f>
        <v>24.258495432968651</v>
      </c>
      <c r="C45" s="4">
        <f>[3]Data!N45</f>
        <v>0.23379175927136131</v>
      </c>
    </row>
    <row r="46" spans="1:3" x14ac:dyDescent="0.25">
      <c r="A46" s="1">
        <f>[3]Data!J46</f>
        <v>291.05760965024848</v>
      </c>
      <c r="B46" s="3">
        <f>[3]Data!K46</f>
        <v>30.21220372182901</v>
      </c>
      <c r="C46" s="4">
        <f>[3]Data!N46</f>
        <v>0.36212322494095361</v>
      </c>
    </row>
    <row r="47" spans="1:3" x14ac:dyDescent="0.25">
      <c r="A47" s="1">
        <f>[3]Data!J47</f>
        <v>596.96015524763516</v>
      </c>
      <c r="B47" s="3">
        <f>[3]Data!K47</f>
        <v>32.640044751077639</v>
      </c>
      <c r="C47" s="4">
        <f>[3]Data!N47</f>
        <v>0.29718856991396142</v>
      </c>
    </row>
    <row r="48" spans="1:3" x14ac:dyDescent="0.25">
      <c r="A48" s="1">
        <f>[3]Data!J48</f>
        <v>559.97758335747517</v>
      </c>
      <c r="B48" s="3">
        <f>[3]Data!K48</f>
        <v>30.116527726833709</v>
      </c>
      <c r="C48" s="4">
        <f>[3]Data!N48</f>
        <v>0.28336942798927012</v>
      </c>
    </row>
    <row r="49" spans="1:3" x14ac:dyDescent="0.25">
      <c r="A49" s="1">
        <f>[3]Data!J49</f>
        <v>696.81069761586082</v>
      </c>
      <c r="B49" s="3">
        <f>[3]Data!K49</f>
        <v>36.329472046171738</v>
      </c>
      <c r="C49" s="4">
        <f>[3]Data!N49</f>
        <v>0.34625154351267551</v>
      </c>
    </row>
    <row r="50" spans="1:3" x14ac:dyDescent="0.25">
      <c r="A50" s="1">
        <f>[3]Data!J50</f>
        <v>606.72437794032601</v>
      </c>
      <c r="B50" s="3">
        <f>[3]Data!K50</f>
        <v>33.488511070211693</v>
      </c>
      <c r="C50" s="4">
        <f>[3]Data!N50</f>
        <v>0.30257537012267921</v>
      </c>
    </row>
    <row r="51" spans="1:3" x14ac:dyDescent="0.25">
      <c r="A51" s="1">
        <f>[3]Data!J51</f>
        <v>484.28885475832197</v>
      </c>
      <c r="B51" s="3">
        <f>[3]Data!K51</f>
        <v>22.67066139610537</v>
      </c>
      <c r="C51" s="4">
        <f>[3]Data!N51</f>
        <v>0.25403672103000408</v>
      </c>
    </row>
    <row r="52" spans="1:3" x14ac:dyDescent="0.25">
      <c r="A52" s="1">
        <f>[3]Data!J52</f>
        <v>504.65458741369969</v>
      </c>
      <c r="B52" s="3">
        <f>[3]Data!K52</f>
        <v>42.450393069510469</v>
      </c>
      <c r="C52" s="4">
        <f>[3]Data!N52</f>
        <v>0.3718495870650842</v>
      </c>
    </row>
    <row r="53" spans="1:3" x14ac:dyDescent="0.25">
      <c r="A53" s="1">
        <f>[3]Data!J53</f>
        <v>496.06702576891882</v>
      </c>
      <c r="B53" s="3">
        <f>[3]Data!K53</f>
        <v>26.6797836620513</v>
      </c>
      <c r="C53" s="4">
        <f>[3]Data!N53</f>
        <v>0.26525404584659262</v>
      </c>
    </row>
    <row r="54" spans="1:3" x14ac:dyDescent="0.25">
      <c r="A54" s="1">
        <f>[3]Data!J54</f>
        <v>569.036813905543</v>
      </c>
      <c r="B54" s="3">
        <f>[3]Data!K54</f>
        <v>37.510906147376723</v>
      </c>
      <c r="C54" s="4">
        <f>[3]Data!N54</f>
        <v>0.28728976709457338</v>
      </c>
    </row>
    <row r="55" spans="1:3" x14ac:dyDescent="0.25">
      <c r="A55" s="1">
        <f>[3]Data!J55</f>
        <v>523.01127462814736</v>
      </c>
      <c r="B55" s="3">
        <f>[3]Data!K55</f>
        <v>21.014939592383691</v>
      </c>
      <c r="C55" s="4">
        <f>[3]Data!N55</f>
        <v>0.35683679596408208</v>
      </c>
    </row>
    <row r="56" spans="1:3" x14ac:dyDescent="0.25">
      <c r="A56" s="1">
        <f>[3]Data!J56</f>
        <v>438.67524693903368</v>
      </c>
      <c r="B56" s="3">
        <f>[3]Data!K56</f>
        <v>25.659829377999021</v>
      </c>
      <c r="C56" s="4">
        <f>[3]Data!N56</f>
        <v>0.24060566113363149</v>
      </c>
    </row>
    <row r="57" spans="1:3" x14ac:dyDescent="0.25">
      <c r="A57" s="1">
        <f>[3]Data!J57</f>
        <v>830.13369852249514</v>
      </c>
      <c r="B57" s="3">
        <f>[3]Data!K57</f>
        <v>42.819613509869228</v>
      </c>
      <c r="C57" s="4">
        <f>[3]Data!N57</f>
        <v>0.39777191437161191</v>
      </c>
    </row>
    <row r="58" spans="1:3" x14ac:dyDescent="0.25">
      <c r="A58" s="1">
        <f>[3]Data!J58</f>
        <v>497.81317760107709</v>
      </c>
      <c r="B58" s="3">
        <f>[3]Data!K58</f>
        <v>28.213310860324128</v>
      </c>
      <c r="C58" s="4">
        <f>[3]Data!N58</f>
        <v>0.33006229745372762</v>
      </c>
    </row>
    <row r="59" spans="1:3" x14ac:dyDescent="0.25">
      <c r="A59" s="1">
        <f>[3]Data!J59</f>
        <v>375.22752388249648</v>
      </c>
      <c r="B59" s="3">
        <f>[3]Data!K59</f>
        <v>28.856357791851678</v>
      </c>
      <c r="C59" s="4">
        <f>[3]Data!N59</f>
        <v>0.27643788341618669</v>
      </c>
    </row>
    <row r="60" spans="1:3" x14ac:dyDescent="0.25">
      <c r="A60" s="1">
        <f>[3]Data!J60</f>
        <v>523.01127462814736</v>
      </c>
      <c r="B60" s="3">
        <f>[3]Data!K60</f>
        <v>32.509503541037532</v>
      </c>
      <c r="C60" s="4">
        <f>[3]Data!N60</f>
        <v>0.2743413460545816</v>
      </c>
    </row>
    <row r="61" spans="1:3" x14ac:dyDescent="0.25">
      <c r="A61" s="1">
        <f>[3]Data!J61</f>
        <v>504.65458741369969</v>
      </c>
      <c r="B61" s="3">
        <f>[3]Data!K61</f>
        <v>36.13905882520546</v>
      </c>
      <c r="C61" s="4">
        <f>[3]Data!N61</f>
        <v>0.34042130162395873</v>
      </c>
    </row>
    <row r="62" spans="1:3" x14ac:dyDescent="0.25">
      <c r="A62" s="1">
        <f>[3]Data!J62</f>
        <v>319.56344705841639</v>
      </c>
      <c r="B62" s="3">
        <f>[3]Data!K62</f>
        <v>42.863547025446572</v>
      </c>
      <c r="C62" s="4">
        <f>[3]Data!N62</f>
        <v>0.19223505408993111</v>
      </c>
    </row>
    <row r="63" spans="1:3" x14ac:dyDescent="0.25">
      <c r="A63" s="1">
        <f>[3]Data!J63</f>
        <v>619.41733832886609</v>
      </c>
      <c r="B63" s="3">
        <f>[3]Data!K63</f>
        <v>34.543963455210843</v>
      </c>
      <c r="C63" s="4">
        <f>[3]Data!N63</f>
        <v>0.32266433225341751</v>
      </c>
    </row>
    <row r="64" spans="1:3" x14ac:dyDescent="0.25">
      <c r="A64" s="1">
        <f>[3]Data!J64</f>
        <v>305.47024795509333</v>
      </c>
      <c r="B64" s="3">
        <f>[3]Data!K64</f>
        <v>20.833658043879868</v>
      </c>
      <c r="C64" s="4">
        <f>[3]Data!N64</f>
        <v>0.18679294537118299</v>
      </c>
    </row>
    <row r="65" spans="1:3" x14ac:dyDescent="0.25">
      <c r="A65" s="1">
        <f>[3]Data!J65</f>
        <v>521.92242249612491</v>
      </c>
      <c r="B65" s="3">
        <f>[3]Data!K65</f>
        <v>21.014939592383691</v>
      </c>
      <c r="C65" s="4">
        <f>[3]Data!N65</f>
        <v>0.31044692368482418</v>
      </c>
    </row>
    <row r="66" spans="1:3" x14ac:dyDescent="0.25">
      <c r="A66" s="1">
        <f>[3]Data!J66</f>
        <v>473.37922936466907</v>
      </c>
      <c r="B66" s="3">
        <f>[3]Data!K66</f>
        <v>25.369547601790899</v>
      </c>
      <c r="C66" s="4">
        <f>[3]Data!N66</f>
        <v>0.25202637409654721</v>
      </c>
    </row>
    <row r="67" spans="1:3" x14ac:dyDescent="0.25">
      <c r="A67" s="1">
        <f>[3]Data!J67</f>
        <v>619.41733832886609</v>
      </c>
      <c r="B67" s="3">
        <f>[3]Data!K67</f>
        <v>37.510906147376723</v>
      </c>
      <c r="C67" s="4">
        <f>[3]Data!N67</f>
        <v>0.37123395995440062</v>
      </c>
    </row>
    <row r="68" spans="1:3" x14ac:dyDescent="0.25">
      <c r="A68" s="1">
        <f>[3]Data!J68</f>
        <v>659.36358432663053</v>
      </c>
      <c r="B68" s="3">
        <f>[3]Data!K68</f>
        <v>35.629086509343651</v>
      </c>
      <c r="C68" s="4">
        <f>[3]Data!N68</f>
        <v>0.33292245175206381</v>
      </c>
    </row>
    <row r="69" spans="1:3" x14ac:dyDescent="0.25">
      <c r="A69" s="1">
        <f>[3]Data!J69</f>
        <v>648.04278931605404</v>
      </c>
      <c r="B69" s="3">
        <f>[3]Data!K69</f>
        <v>35.349709305309297</v>
      </c>
      <c r="C69" s="4">
        <f>[3]Data!N69</f>
        <v>0.32581869835967092</v>
      </c>
    </row>
    <row r="70" spans="1:3" x14ac:dyDescent="0.25">
      <c r="A70" s="1">
        <f>[3]Data!J70</f>
        <v>608.0353746788893</v>
      </c>
      <c r="B70" s="3">
        <f>[3]Data!K70</f>
        <v>33.594994608612112</v>
      </c>
      <c r="C70" s="4">
        <f>[3]Data!N70</f>
        <v>0.30329966544333942</v>
      </c>
    </row>
    <row r="71" spans="1:3" x14ac:dyDescent="0.25">
      <c r="A71" s="1">
        <f>[3]Data!J71</f>
        <v>362.0806959925111</v>
      </c>
      <c r="B71" s="3">
        <f>[3]Data!K71</f>
        <v>21.830429874465541</v>
      </c>
      <c r="C71" s="4">
        <f>[3]Data!N71</f>
        <v>0.20414723507989471</v>
      </c>
    </row>
    <row r="72" spans="1:3" x14ac:dyDescent="0.25">
      <c r="A72" s="1">
        <f>[3]Data!J72</f>
        <v>573.24211385453748</v>
      </c>
      <c r="B72" s="3">
        <f>[3]Data!K72</f>
        <v>31.780339128994552</v>
      </c>
      <c r="C72" s="4">
        <f>[3]Data!N72</f>
        <v>0.28948886558907888</v>
      </c>
    </row>
    <row r="73" spans="1:3" x14ac:dyDescent="0.25">
      <c r="A73" s="1">
        <f>[3]Data!J73</f>
        <v>551.57500310812304</v>
      </c>
      <c r="B73" s="3">
        <f>[3]Data!K73</f>
        <v>29.002436397815529</v>
      </c>
      <c r="C73" s="4">
        <f>[3]Data!N73</f>
        <v>0.28054417581680913</v>
      </c>
    </row>
    <row r="74" spans="1:3" x14ac:dyDescent="0.25">
      <c r="A74" s="1">
        <f>[3]Data!J74</f>
        <v>581.24124671152902</v>
      </c>
      <c r="B74" s="3">
        <f>[3]Data!K74</f>
        <v>32.124851019620138</v>
      </c>
      <c r="C74" s="4">
        <f>[3]Data!N74</f>
        <v>0.29284631491392171</v>
      </c>
    </row>
    <row r="75" spans="1:3" x14ac:dyDescent="0.25">
      <c r="A75" s="1">
        <f>[3]Data!J75</f>
        <v>551.57500310812304</v>
      </c>
      <c r="B75" s="3">
        <f>[3]Data!K75</f>
        <v>39.870098609562831</v>
      </c>
      <c r="C75" s="4">
        <f>[3]Data!N75</f>
        <v>0.20187766616909419</v>
      </c>
    </row>
    <row r="76" spans="1:3" x14ac:dyDescent="0.25">
      <c r="A76" s="1">
        <f>[3]Data!J76</f>
        <v>545.77266574920179</v>
      </c>
      <c r="B76" s="3">
        <f>[3]Data!K76</f>
        <v>28.61134162948003</v>
      </c>
      <c r="C76" s="4">
        <f>[3]Data!N76</f>
        <v>0.2248782794162171</v>
      </c>
    </row>
    <row r="77" spans="1:3" x14ac:dyDescent="0.25">
      <c r="A77" s="1">
        <f>[3]Data!J77</f>
        <v>403.40831801853841</v>
      </c>
      <c r="B77" s="3">
        <f>[3]Data!K77</f>
        <v>22.71292327512996</v>
      </c>
      <c r="C77" s="4">
        <f>[3]Data!N77</f>
        <v>0.22107462398711211</v>
      </c>
    </row>
    <row r="78" spans="1:3" x14ac:dyDescent="0.25">
      <c r="A78" s="1">
        <f>[3]Data!J78</f>
        <v>886.1339798802187</v>
      </c>
      <c r="B78" s="3">
        <f>[3]Data!K78</f>
        <v>21.380953935177011</v>
      </c>
      <c r="C78" s="4">
        <f>[3]Data!N78</f>
        <v>0.19529177275776979</v>
      </c>
    </row>
    <row r="79" spans="1:3" x14ac:dyDescent="0.25">
      <c r="A79" s="1">
        <f>[3]Data!J79</f>
        <v>726.81693567394757</v>
      </c>
      <c r="B79" s="3">
        <f>[3]Data!K79</f>
        <v>42.328424856528947</v>
      </c>
      <c r="C79" s="4">
        <f>[3]Data!N79</f>
        <v>0.25414415926475448</v>
      </c>
    </row>
    <row r="80" spans="1:3" x14ac:dyDescent="0.25">
      <c r="A80" s="1">
        <f>[3]Data!J80</f>
        <v>886.1339798802187</v>
      </c>
      <c r="B80" s="3">
        <f>[3]Data!K80</f>
        <v>28.856357791851678</v>
      </c>
      <c r="C80" s="4">
        <f>[3]Data!N80</f>
        <v>0.41063671974599147</v>
      </c>
    </row>
    <row r="81" spans="1:3" x14ac:dyDescent="0.25">
      <c r="A81" s="1">
        <f>[3]Data!J81</f>
        <v>664.15565877204904</v>
      </c>
      <c r="B81" s="3">
        <f>[3]Data!K81</f>
        <v>35.712204079351267</v>
      </c>
      <c r="C81" s="4">
        <f>[3]Data!N81</f>
        <v>0.33781935185684459</v>
      </c>
    </row>
    <row r="82" spans="1:3" x14ac:dyDescent="0.25">
      <c r="A82" s="1">
        <f>[3]Data!J82</f>
        <v>558.42480133446179</v>
      </c>
      <c r="B82" s="3">
        <f>[3]Data!K82</f>
        <v>22.71292327512996</v>
      </c>
      <c r="C82" s="4">
        <f>[3]Data!N82</f>
        <v>0.28215109754040218</v>
      </c>
    </row>
    <row r="83" spans="1:3" x14ac:dyDescent="0.25">
      <c r="A83" s="1">
        <f>[3]Data!J83</f>
        <v>569.036813905543</v>
      </c>
      <c r="B83" s="3">
        <f>[3]Data!K83</f>
        <v>42.863547025446572</v>
      </c>
      <c r="C83" s="4">
        <f>[3]Data!N83</f>
        <v>0.28620642158906862</v>
      </c>
    </row>
    <row r="84" spans="1:3" x14ac:dyDescent="0.25">
      <c r="A84" s="1">
        <f>[3]Data!J84</f>
        <v>252.880529766411</v>
      </c>
      <c r="B84" s="3">
        <f>[3]Data!K84</f>
        <v>34.233542912614041</v>
      </c>
      <c r="C84" s="4">
        <f>[3]Data!N84</f>
        <v>0.31094851703248888</v>
      </c>
    </row>
    <row r="85" spans="1:3" x14ac:dyDescent="0.25">
      <c r="A85" s="1">
        <f>[3]Data!J85</f>
        <v>773.23782906934002</v>
      </c>
      <c r="B85" s="3">
        <f>[3]Data!K85</f>
        <v>41.422284810995777</v>
      </c>
      <c r="C85" s="4">
        <f>[3]Data!N85</f>
        <v>0.36288404833129961</v>
      </c>
    </row>
    <row r="86" spans="1:3" x14ac:dyDescent="0.25">
      <c r="A86" s="1">
        <f>[3]Data!J86</f>
        <v>817.8805740858752</v>
      </c>
      <c r="B86" s="3">
        <f>[3]Data!K86</f>
        <v>35.14527034142445</v>
      </c>
      <c r="C86" s="4">
        <f>[3]Data!N86</f>
        <v>0.39096878987349809</v>
      </c>
    </row>
    <row r="87" spans="1:3" x14ac:dyDescent="0.25">
      <c r="A87" s="1">
        <f>[3]Data!J87</f>
        <v>603.45495957616026</v>
      </c>
      <c r="B87" s="3">
        <f>[3]Data!K87</f>
        <v>34.233542912614041</v>
      </c>
      <c r="C87" s="4">
        <f>[3]Data!N87</f>
        <v>0.30025139260575129</v>
      </c>
    </row>
    <row r="88" spans="1:3" x14ac:dyDescent="0.25">
      <c r="A88" s="1">
        <f>[3]Data!J88</f>
        <v>518.08895796790466</v>
      </c>
      <c r="B88" s="3">
        <f>[3]Data!K88</f>
        <v>34.509555299643331</v>
      </c>
      <c r="C88" s="4">
        <f>[3]Data!N88</f>
        <v>0.31869611368775308</v>
      </c>
    </row>
    <row r="89" spans="1:3" x14ac:dyDescent="0.25">
      <c r="A89" s="1">
        <f>[3]Data!J89</f>
        <v>307.91532286630729</v>
      </c>
      <c r="B89" s="3">
        <f>[3]Data!K89</f>
        <v>34.093862468973867</v>
      </c>
      <c r="C89" s="4">
        <f>[3]Data!N89</f>
        <v>0.34442553880212762</v>
      </c>
    </row>
    <row r="90" spans="1:3" x14ac:dyDescent="0.25">
      <c r="A90" s="1">
        <f>[3]Data!J90</f>
        <v>375.22752388249648</v>
      </c>
      <c r="B90" s="3">
        <f>[3]Data!K90</f>
        <v>21.380953935177011</v>
      </c>
      <c r="C90" s="4">
        <f>[3]Data!N90</f>
        <v>0.21289820988431221</v>
      </c>
    </row>
    <row r="91" spans="1:3" x14ac:dyDescent="0.25">
      <c r="A91" s="1">
        <f>[3]Data!J91</f>
        <v>519.22626043512992</v>
      </c>
      <c r="B91" s="3">
        <f>[3]Data!K91</f>
        <v>27.242540128268349</v>
      </c>
      <c r="C91" s="4">
        <f>[3]Data!N91</f>
        <v>0.27060515784716049</v>
      </c>
    </row>
    <row r="92" spans="1:3" x14ac:dyDescent="0.25">
      <c r="A92" s="1">
        <f>[3]Data!J92</f>
        <v>291.05760965024848</v>
      </c>
      <c r="B92" s="3">
        <f>[3]Data!K92</f>
        <v>39.870098609562831</v>
      </c>
      <c r="C92" s="4">
        <f>[3]Data!N92</f>
        <v>0.33856809984859187</v>
      </c>
    </row>
    <row r="93" spans="1:3" x14ac:dyDescent="0.25">
      <c r="A93" s="1">
        <f>[3]Data!J93</f>
        <v>389.38710677341862</v>
      </c>
      <c r="B93" s="3">
        <f>[3]Data!K93</f>
        <v>32.124851019620138</v>
      </c>
      <c r="C93" s="4">
        <f>[3]Data!N93</f>
        <v>0.21906150646039199</v>
      </c>
    </row>
    <row r="94" spans="1:3" x14ac:dyDescent="0.25">
      <c r="A94" s="1">
        <f>[3]Data!J94</f>
        <v>454.85168594785551</v>
      </c>
      <c r="B94" s="3">
        <f>[3]Data!K94</f>
        <v>21.380953935177011</v>
      </c>
      <c r="C94" s="4">
        <f>[3]Data!N94</f>
        <v>0.24923385254589181</v>
      </c>
    </row>
    <row r="95" spans="1:3" x14ac:dyDescent="0.25">
      <c r="A95" s="1">
        <f>[3]Data!J95</f>
        <v>521.92242249612491</v>
      </c>
      <c r="B95" s="3">
        <f>[3]Data!K95</f>
        <v>28.61134162948003</v>
      </c>
      <c r="C95" s="4">
        <f>[3]Data!N95</f>
        <v>0.23429928415438989</v>
      </c>
    </row>
    <row r="96" spans="1:3" x14ac:dyDescent="0.25">
      <c r="A96" s="1">
        <f>[3]Data!J96</f>
        <v>518.08895796790466</v>
      </c>
      <c r="B96" s="3">
        <f>[3]Data!K96</f>
        <v>37.920198615682011</v>
      </c>
      <c r="C96" s="4">
        <f>[3]Data!N96</f>
        <v>0.26977427974324081</v>
      </c>
    </row>
    <row r="97" spans="1:3" x14ac:dyDescent="0.25">
      <c r="A97" s="1">
        <f>[3]Data!J97</f>
        <v>167.05152762488819</v>
      </c>
      <c r="B97" s="3">
        <f>[3]Data!K97</f>
        <v>15.177312318503819</v>
      </c>
      <c r="C97" s="4">
        <f>[3]Data!N97</f>
        <v>0.1227218508002173</v>
      </c>
    </row>
    <row r="98" spans="1:3" x14ac:dyDescent="0.25">
      <c r="A98" s="1">
        <f>[3]Data!J98</f>
        <v>734.54360210915809</v>
      </c>
      <c r="B98" s="3">
        <f>[3]Data!K98</f>
        <v>36.040297721835898</v>
      </c>
      <c r="C98" s="4">
        <f>[3]Data!N98</f>
        <v>0.34288763100419523</v>
      </c>
    </row>
    <row r="99" spans="1:3" x14ac:dyDescent="0.25">
      <c r="A99" s="1">
        <f>[3]Data!J99</f>
        <v>447.27848635895299</v>
      </c>
      <c r="B99" s="3">
        <f>[3]Data!K99</f>
        <v>24.86722617036456</v>
      </c>
      <c r="C99" s="4">
        <f>[3]Data!N99</f>
        <v>0.24580046742972819</v>
      </c>
    </row>
    <row r="100" spans="1:3" x14ac:dyDescent="0.25">
      <c r="A100" s="1">
        <f>[3]Data!J100</f>
        <v>504.65458741369969</v>
      </c>
      <c r="B100" s="3">
        <f>[3]Data!K100</f>
        <v>25.659829377999021</v>
      </c>
      <c r="C100" s="4">
        <f>[3]Data!N100</f>
        <v>0.26928534750742977</v>
      </c>
    </row>
    <row r="101" spans="1:3" x14ac:dyDescent="0.25">
      <c r="A101" s="1">
        <f>[3]Data!J101</f>
        <v>419.38042762271778</v>
      </c>
      <c r="B101" s="3">
        <f>[3]Data!K101</f>
        <v>36.13905882520546</v>
      </c>
      <c r="C101" s="4">
        <f>[3]Data!N101</f>
        <v>0.23183287709095979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7FB3-31AC-4B14-9659-4C1CE734FD93}">
  <dimension ref="A1:S101"/>
  <sheetViews>
    <sheetView workbookViewId="0">
      <selection activeCell="AC20" sqref="AC20"/>
    </sheetView>
  </sheetViews>
  <sheetFormatPr defaultRowHeight="15.75" x14ac:dyDescent="0.25"/>
  <cols>
    <col min="2" max="2" width="11.875" bestFit="1" customWidth="1"/>
    <col min="17" max="17" width="39.75" bestFit="1" customWidth="1"/>
  </cols>
  <sheetData>
    <row r="1" spans="1:19" x14ac:dyDescent="0.25">
      <c r="A1" s="5" t="str" cm="1">
        <f t="array" ref="A1:A101">Data!B1:B101</f>
        <v>Gender</v>
      </c>
      <c r="B1" s="16" t="str" cm="1">
        <f t="array" ref="B1:B101">Data!N1:N101</f>
        <v>Profit Margin</v>
      </c>
    </row>
    <row r="2" spans="1:19" x14ac:dyDescent="0.25">
      <c r="A2" t="str">
        <v>Female</v>
      </c>
      <c r="B2" s="15">
        <v>0.2207370029864176</v>
      </c>
      <c r="D2" t="s">
        <v>63</v>
      </c>
      <c r="N2" s="17" t="s">
        <v>45</v>
      </c>
      <c r="O2" s="17" t="s">
        <v>44</v>
      </c>
    </row>
    <row r="3" spans="1:19" x14ac:dyDescent="0.25">
      <c r="A3" t="str">
        <v>Female</v>
      </c>
      <c r="B3" s="15">
        <v>0.30629010595447159</v>
      </c>
      <c r="N3" s="17">
        <v>0.2207370029864176</v>
      </c>
      <c r="O3" s="17">
        <v>0.28936177079024888</v>
      </c>
      <c r="Q3" s="1" t="s">
        <v>65</v>
      </c>
      <c r="R3" s="1"/>
      <c r="S3" s="1"/>
    </row>
    <row r="4" spans="1:19" ht="16.5" thickBot="1" x14ac:dyDescent="0.3">
      <c r="A4" t="str">
        <v>Female</v>
      </c>
      <c r="B4" s="15">
        <v>0.29212239699142872</v>
      </c>
      <c r="D4" s="2" t="s">
        <v>64</v>
      </c>
      <c r="E4" s="2">
        <v>0.05</v>
      </c>
      <c r="N4" s="17">
        <v>0.30629010595447159</v>
      </c>
      <c r="O4" s="17">
        <v>0.25439927348418562</v>
      </c>
      <c r="Q4" s="1"/>
      <c r="R4" s="1"/>
      <c r="S4" s="1"/>
    </row>
    <row r="5" spans="1:19" x14ac:dyDescent="0.25">
      <c r="A5" t="str">
        <v>Female</v>
      </c>
      <c r="B5" s="15">
        <v>0.2110494352398164</v>
      </c>
      <c r="N5" s="17">
        <v>0.29212239699142872</v>
      </c>
      <c r="O5" s="17">
        <v>0.21021883294682961</v>
      </c>
      <c r="Q5" s="8"/>
      <c r="R5" s="8" t="s">
        <v>45</v>
      </c>
      <c r="S5" s="8" t="s">
        <v>44</v>
      </c>
    </row>
    <row r="6" spans="1:19" x14ac:dyDescent="0.25">
      <c r="A6" t="str">
        <v>Female</v>
      </c>
      <c r="B6" s="15">
        <v>0.22284298272060979</v>
      </c>
      <c r="N6" s="17">
        <v>0.2110494352398164</v>
      </c>
      <c r="O6" s="17">
        <v>0.31072854455321491</v>
      </c>
      <c r="Q6" s="19" t="s">
        <v>50</v>
      </c>
      <c r="R6" s="20">
        <v>0.28658186268109448</v>
      </c>
      <c r="S6" s="20">
        <v>0.28658186268109448</v>
      </c>
    </row>
    <row r="7" spans="1:19" x14ac:dyDescent="0.25">
      <c r="A7" t="str">
        <v>Female</v>
      </c>
      <c r="B7" s="15">
        <v>0.35155019849350672</v>
      </c>
      <c r="N7" s="17">
        <v>0.22284298272060979</v>
      </c>
      <c r="O7" s="17">
        <v>0.27918051659162052</v>
      </c>
      <c r="Q7" s="9" t="s">
        <v>66</v>
      </c>
      <c r="R7" s="9">
        <v>4.565185762237205E-3</v>
      </c>
      <c r="S7" s="9">
        <v>3.2686546759800746E-3</v>
      </c>
    </row>
    <row r="8" spans="1:19" x14ac:dyDescent="0.25">
      <c r="A8" t="str">
        <v>Female</v>
      </c>
      <c r="B8" s="15">
        <v>0.2680229457328035</v>
      </c>
      <c r="N8" s="17">
        <v>0.35155019849350672</v>
      </c>
      <c r="O8" s="17">
        <v>0.29895452589316301</v>
      </c>
      <c r="Q8" s="9" t="s">
        <v>67</v>
      </c>
      <c r="R8" s="9">
        <v>50</v>
      </c>
      <c r="S8" s="9">
        <v>50</v>
      </c>
    </row>
    <row r="9" spans="1:19" x14ac:dyDescent="0.25">
      <c r="A9" t="str">
        <v>Female</v>
      </c>
      <c r="B9" s="15">
        <v>0.40987566214717058</v>
      </c>
      <c r="N9" s="17">
        <v>0.2680229457328035</v>
      </c>
      <c r="O9" s="17">
        <v>0.25465478640020989</v>
      </c>
      <c r="Q9" s="9" t="s">
        <v>68</v>
      </c>
      <c r="R9" s="9">
        <v>3.91692021910864E-3</v>
      </c>
      <c r="S9" s="9"/>
    </row>
    <row r="10" spans="1:19" x14ac:dyDescent="0.25">
      <c r="A10" t="str">
        <v>Female</v>
      </c>
      <c r="B10" s="15">
        <v>0.17712869665622341</v>
      </c>
      <c r="N10" s="17">
        <v>0.40987566214717058</v>
      </c>
      <c r="O10" s="17">
        <v>0.35719492828615568</v>
      </c>
      <c r="Q10" s="9" t="s">
        <v>69</v>
      </c>
      <c r="R10" s="9">
        <v>0</v>
      </c>
      <c r="S10" s="9"/>
    </row>
    <row r="11" spans="1:19" x14ac:dyDescent="0.25">
      <c r="A11" t="str">
        <v>Female</v>
      </c>
      <c r="B11" s="15">
        <v>0.34135721988956752</v>
      </c>
      <c r="N11" s="17">
        <v>0.17712869665622341</v>
      </c>
      <c r="O11" s="17">
        <v>0.31830109051492927</v>
      </c>
      <c r="Q11" s="9" t="s">
        <v>70</v>
      </c>
      <c r="R11" s="9">
        <v>98</v>
      </c>
      <c r="S11" s="9"/>
    </row>
    <row r="12" spans="1:19" x14ac:dyDescent="0.25">
      <c r="A12" t="str">
        <v>Female</v>
      </c>
      <c r="B12" s="15">
        <v>0.14962905137318741</v>
      </c>
      <c r="N12" s="17">
        <v>0.34135721988956752</v>
      </c>
      <c r="O12" s="17">
        <v>0.28515499329898969</v>
      </c>
      <c r="Q12" s="9" t="s">
        <v>71</v>
      </c>
      <c r="R12" s="9">
        <v>-4.7672035707865081E-2</v>
      </c>
      <c r="S12" s="9"/>
    </row>
    <row r="13" spans="1:19" x14ac:dyDescent="0.25">
      <c r="A13" t="str">
        <v>Female</v>
      </c>
      <c r="B13" s="15">
        <v>0.27367669906443659</v>
      </c>
      <c r="N13" s="17">
        <v>0.14962905137318741</v>
      </c>
      <c r="O13" s="17">
        <v>0.25651376000433213</v>
      </c>
      <c r="Q13" s="9" t="s">
        <v>72</v>
      </c>
      <c r="R13" s="9">
        <v>0.48103731901779256</v>
      </c>
      <c r="S13" s="9"/>
    </row>
    <row r="14" spans="1:19" x14ac:dyDescent="0.25">
      <c r="A14" t="str">
        <v>Female</v>
      </c>
      <c r="B14" s="15">
        <v>0.25128814980901171</v>
      </c>
      <c r="N14" s="17">
        <v>0.27367669906443659</v>
      </c>
      <c r="O14" s="17">
        <v>0.18294062777081871</v>
      </c>
      <c r="Q14" s="9" t="s">
        <v>73</v>
      </c>
      <c r="R14" s="9">
        <v>1.6605512170657302</v>
      </c>
      <c r="S14" s="9"/>
    </row>
    <row r="15" spans="1:19" x14ac:dyDescent="0.25">
      <c r="A15" t="str">
        <v>Female</v>
      </c>
      <c r="B15" s="15">
        <v>0.27568709704055427</v>
      </c>
      <c r="N15" s="17">
        <v>0.25128814980901171</v>
      </c>
      <c r="O15" s="17">
        <v>0.22479924456866621</v>
      </c>
      <c r="Q15" s="21" t="s">
        <v>74</v>
      </c>
      <c r="R15" s="21">
        <v>0.96207463803558513</v>
      </c>
      <c r="S15" s="9"/>
    </row>
    <row r="16" spans="1:19" ht="16.5" thickBot="1" x14ac:dyDescent="0.3">
      <c r="A16" t="str">
        <v>Female</v>
      </c>
      <c r="B16" s="15">
        <v>0.25301998160958439</v>
      </c>
      <c r="N16" s="17">
        <v>0.27568709704055427</v>
      </c>
      <c r="O16" s="17">
        <v>0.34981255561364211</v>
      </c>
      <c r="Q16" s="10" t="s">
        <v>75</v>
      </c>
      <c r="R16" s="10">
        <v>1.9844674545084788</v>
      </c>
      <c r="S16" s="10"/>
    </row>
    <row r="17" spans="1:17" x14ac:dyDescent="0.25">
      <c r="A17" t="str">
        <v>Female</v>
      </c>
      <c r="B17" s="15">
        <v>0.29589157319362352</v>
      </c>
      <c r="N17" s="17">
        <v>0.25301998160958439</v>
      </c>
      <c r="O17" s="17">
        <v>0.2910865626887707</v>
      </c>
    </row>
    <row r="18" spans="1:17" x14ac:dyDescent="0.25">
      <c r="A18" t="str">
        <v>Female</v>
      </c>
      <c r="B18" s="15">
        <v>0.37607345777717149</v>
      </c>
      <c r="N18" s="17">
        <v>0.29589157319362352</v>
      </c>
      <c r="O18" s="17">
        <v>0.28087418717400608</v>
      </c>
    </row>
    <row r="19" spans="1:17" x14ac:dyDescent="0.25">
      <c r="A19" t="str">
        <v>Female</v>
      </c>
      <c r="B19" s="15">
        <v>0.28130963365436612</v>
      </c>
      <c r="N19" s="17">
        <v>0.37607345777717149</v>
      </c>
      <c r="O19" s="17">
        <v>0.3561087509382424</v>
      </c>
    </row>
    <row r="20" spans="1:17" x14ac:dyDescent="0.25">
      <c r="A20" t="str">
        <v>Female</v>
      </c>
      <c r="B20" s="15">
        <v>0.35867859413871878</v>
      </c>
      <c r="N20" s="17">
        <v>0.28130963365436612</v>
      </c>
      <c r="O20" s="17">
        <v>0.18955232651186979</v>
      </c>
      <c r="Q20" t="s">
        <v>76</v>
      </c>
    </row>
    <row r="21" spans="1:17" x14ac:dyDescent="0.25">
      <c r="A21" t="str">
        <v>Female</v>
      </c>
      <c r="B21" s="15">
        <v>0.34656380994048908</v>
      </c>
      <c r="N21" s="17">
        <v>0.35867859413871878</v>
      </c>
      <c r="O21" s="17">
        <v>0.24905707173957051</v>
      </c>
    </row>
    <row r="22" spans="1:17" x14ac:dyDescent="0.25">
      <c r="A22" t="str">
        <v>Female</v>
      </c>
      <c r="B22" s="15">
        <v>0.45044823315321392</v>
      </c>
      <c r="N22" s="17">
        <v>0.34656380994048908</v>
      </c>
      <c r="O22" s="17">
        <v>0.32331029713287818</v>
      </c>
    </row>
    <row r="23" spans="1:17" x14ac:dyDescent="0.25">
      <c r="A23" t="str">
        <v>Female</v>
      </c>
      <c r="B23" s="15">
        <v>0.23379175927136131</v>
      </c>
      <c r="N23" s="17">
        <v>0.45044823315321392</v>
      </c>
      <c r="O23" s="17">
        <v>0.41054204530787919</v>
      </c>
    </row>
    <row r="24" spans="1:17" x14ac:dyDescent="0.25">
      <c r="A24" t="str">
        <v>Female</v>
      </c>
      <c r="B24" s="15">
        <v>0.29718856991396142</v>
      </c>
      <c r="N24" s="17">
        <v>0.23379175927136131</v>
      </c>
      <c r="O24" s="17">
        <v>0.26813506639730089</v>
      </c>
    </row>
    <row r="25" spans="1:17" x14ac:dyDescent="0.25">
      <c r="A25" t="str">
        <v>Female</v>
      </c>
      <c r="B25" s="15">
        <v>0.34625154351267551</v>
      </c>
      <c r="N25" s="17">
        <v>0.29718856991396142</v>
      </c>
      <c r="O25" s="17">
        <v>0.36212322494095361</v>
      </c>
    </row>
    <row r="26" spans="1:17" x14ac:dyDescent="0.25">
      <c r="A26" t="str">
        <v>Female</v>
      </c>
      <c r="B26" s="15">
        <v>0.25403672103000408</v>
      </c>
      <c r="N26" s="17">
        <v>0.34625154351267551</v>
      </c>
      <c r="O26" s="17">
        <v>0.28336942798927012</v>
      </c>
    </row>
    <row r="27" spans="1:17" x14ac:dyDescent="0.25">
      <c r="A27" t="str">
        <v>Female</v>
      </c>
      <c r="B27" s="15">
        <v>0.26525404584659262</v>
      </c>
      <c r="N27" s="17">
        <v>0.25403672103000408</v>
      </c>
      <c r="O27" s="17">
        <v>0.30257537012267921</v>
      </c>
    </row>
    <row r="28" spans="1:17" x14ac:dyDescent="0.25">
      <c r="A28" t="str">
        <v>Female</v>
      </c>
      <c r="B28" s="15">
        <v>0.35683679596408208</v>
      </c>
      <c r="N28" s="17">
        <v>0.26525404584659262</v>
      </c>
      <c r="O28" s="17">
        <v>0.3718495870650842</v>
      </c>
    </row>
    <row r="29" spans="1:17" x14ac:dyDescent="0.25">
      <c r="A29" t="str">
        <v>Female</v>
      </c>
      <c r="B29" s="15">
        <v>0.39777191437161191</v>
      </c>
      <c r="N29" s="17">
        <v>0.35683679596408208</v>
      </c>
      <c r="O29" s="17">
        <v>0.28728976709457338</v>
      </c>
    </row>
    <row r="30" spans="1:17" x14ac:dyDescent="0.25">
      <c r="A30" t="str">
        <v>Female</v>
      </c>
      <c r="B30" s="15">
        <v>0.27643788341618669</v>
      </c>
      <c r="N30" s="17">
        <v>0.39777191437161191</v>
      </c>
      <c r="O30" s="17">
        <v>0.24060566113363149</v>
      </c>
    </row>
    <row r="31" spans="1:17" x14ac:dyDescent="0.25">
      <c r="A31" t="str">
        <v>Female</v>
      </c>
      <c r="B31" s="15">
        <v>0.34042130162395873</v>
      </c>
      <c r="N31" s="17">
        <v>0.27643788341618669</v>
      </c>
      <c r="O31" s="17">
        <v>0.33006229745372762</v>
      </c>
    </row>
    <row r="32" spans="1:17" x14ac:dyDescent="0.25">
      <c r="A32" t="str">
        <v>Female</v>
      </c>
      <c r="B32" s="15">
        <v>0.32266433225341751</v>
      </c>
      <c r="N32" s="17">
        <v>0.34042130162395873</v>
      </c>
      <c r="O32" s="17">
        <v>0.2743413460545816</v>
      </c>
    </row>
    <row r="33" spans="1:15" x14ac:dyDescent="0.25">
      <c r="A33" t="str">
        <v>Female</v>
      </c>
      <c r="B33" s="15">
        <v>0.31044692368482418</v>
      </c>
      <c r="N33" s="17">
        <v>0.32266433225341751</v>
      </c>
      <c r="O33" s="17">
        <v>0.19223505408993111</v>
      </c>
    </row>
    <row r="34" spans="1:15" x14ac:dyDescent="0.25">
      <c r="A34" t="str">
        <v>Female</v>
      </c>
      <c r="B34" s="15">
        <v>0.37123395995440062</v>
      </c>
      <c r="N34" s="17">
        <v>0.31044692368482418</v>
      </c>
      <c r="O34" s="17">
        <v>0.18679294537118299</v>
      </c>
    </row>
    <row r="35" spans="1:15" x14ac:dyDescent="0.25">
      <c r="A35" t="str">
        <v>Female</v>
      </c>
      <c r="B35" s="15">
        <v>0.32581869835967092</v>
      </c>
      <c r="N35" s="17">
        <v>0.37123395995440062</v>
      </c>
      <c r="O35" s="17">
        <v>0.25202637409654721</v>
      </c>
    </row>
    <row r="36" spans="1:15" x14ac:dyDescent="0.25">
      <c r="A36" t="str">
        <v>Female</v>
      </c>
      <c r="B36" s="15">
        <v>0.20414723507989471</v>
      </c>
      <c r="N36" s="17">
        <v>0.32581869835967092</v>
      </c>
      <c r="O36" s="17">
        <v>0.33292245175206381</v>
      </c>
    </row>
    <row r="37" spans="1:15" x14ac:dyDescent="0.25">
      <c r="A37" t="str">
        <v>Female</v>
      </c>
      <c r="B37" s="15">
        <v>0.28054417581680913</v>
      </c>
      <c r="N37" s="17">
        <v>0.20414723507989471</v>
      </c>
      <c r="O37" s="17">
        <v>0.30329966544333942</v>
      </c>
    </row>
    <row r="38" spans="1:15" x14ac:dyDescent="0.25">
      <c r="A38" t="str">
        <v>Female</v>
      </c>
      <c r="B38" s="15">
        <v>0.20187766616909419</v>
      </c>
      <c r="N38" s="17">
        <v>0.28054417581680913</v>
      </c>
      <c r="O38" s="17">
        <v>0.28948886558907888</v>
      </c>
    </row>
    <row r="39" spans="1:15" x14ac:dyDescent="0.25">
      <c r="A39" t="str">
        <v>Female</v>
      </c>
      <c r="B39" s="15">
        <v>0.22107462398711211</v>
      </c>
      <c r="N39" s="17">
        <v>0.20187766616909419</v>
      </c>
      <c r="O39" s="17">
        <v>0.29284631491392171</v>
      </c>
    </row>
    <row r="40" spans="1:15" x14ac:dyDescent="0.25">
      <c r="A40" t="str">
        <v>Female</v>
      </c>
      <c r="B40" s="15">
        <v>0.25414415926475448</v>
      </c>
      <c r="N40" s="17">
        <v>0.22107462398711211</v>
      </c>
      <c r="O40" s="17">
        <v>0.2248782794162171</v>
      </c>
    </row>
    <row r="41" spans="1:15" x14ac:dyDescent="0.25">
      <c r="A41" t="str">
        <v>Female</v>
      </c>
      <c r="B41" s="15">
        <v>0.33781935185684459</v>
      </c>
      <c r="N41" s="17">
        <v>0.25414415926475448</v>
      </c>
      <c r="O41" s="17">
        <v>0.19529177275776979</v>
      </c>
    </row>
    <row r="42" spans="1:15" x14ac:dyDescent="0.25">
      <c r="A42" t="str">
        <v>Female</v>
      </c>
      <c r="B42" s="15">
        <v>0.28620642158906862</v>
      </c>
      <c r="N42" s="17">
        <v>0.33781935185684459</v>
      </c>
      <c r="O42" s="17">
        <v>0.41063671974599147</v>
      </c>
    </row>
    <row r="43" spans="1:15" x14ac:dyDescent="0.25">
      <c r="A43" t="str">
        <v>Female</v>
      </c>
      <c r="B43" s="15">
        <v>0.36288404833129961</v>
      </c>
      <c r="N43" s="17">
        <v>0.28620642158906862</v>
      </c>
      <c r="O43" s="17">
        <v>0.28215109754040218</v>
      </c>
    </row>
    <row r="44" spans="1:15" x14ac:dyDescent="0.25">
      <c r="A44" t="str">
        <v>Female</v>
      </c>
      <c r="B44" s="15">
        <v>0.30025139260575129</v>
      </c>
      <c r="N44" s="17">
        <v>0.36288404833129961</v>
      </c>
      <c r="O44" s="17">
        <v>0.31094851703248888</v>
      </c>
    </row>
    <row r="45" spans="1:15" x14ac:dyDescent="0.25">
      <c r="A45" t="str">
        <v>Female</v>
      </c>
      <c r="B45" s="15">
        <v>0.34442553880212762</v>
      </c>
      <c r="N45" s="17">
        <v>0.30025139260575129</v>
      </c>
      <c r="O45" s="17">
        <v>0.39096878987349809</v>
      </c>
    </row>
    <row r="46" spans="1:15" x14ac:dyDescent="0.25">
      <c r="A46" t="str">
        <v>Female</v>
      </c>
      <c r="B46" s="15">
        <v>0.27060515784716049</v>
      </c>
      <c r="N46" s="17">
        <v>0.34442553880212762</v>
      </c>
      <c r="O46" s="17">
        <v>0.31869611368775308</v>
      </c>
    </row>
    <row r="47" spans="1:15" x14ac:dyDescent="0.25">
      <c r="A47" t="str">
        <v>Female</v>
      </c>
      <c r="B47" s="15">
        <v>0.21906150646039199</v>
      </c>
      <c r="N47" s="17">
        <v>0.27060515784716049</v>
      </c>
      <c r="O47" s="17">
        <v>0.21289820988431221</v>
      </c>
    </row>
    <row r="48" spans="1:15" x14ac:dyDescent="0.25">
      <c r="A48" t="str">
        <v>Female</v>
      </c>
      <c r="B48" s="15">
        <v>0.23429928415438989</v>
      </c>
      <c r="N48" s="17">
        <v>0.21906150646039199</v>
      </c>
      <c r="O48" s="17">
        <v>0.33856809984859187</v>
      </c>
    </row>
    <row r="49" spans="1:15" x14ac:dyDescent="0.25">
      <c r="A49" t="str">
        <v>Female</v>
      </c>
      <c r="B49" s="15">
        <v>0.1227218508002173</v>
      </c>
      <c r="N49" s="17">
        <v>0.23429928415438989</v>
      </c>
      <c r="O49" s="17">
        <v>0.24923385254589181</v>
      </c>
    </row>
    <row r="50" spans="1:15" x14ac:dyDescent="0.25">
      <c r="A50" t="str">
        <v>Female</v>
      </c>
      <c r="B50" s="15">
        <v>0.24580046742972819</v>
      </c>
      <c r="N50" s="17">
        <v>0.1227218508002173</v>
      </c>
      <c r="O50" s="17">
        <v>0.26977427974324081</v>
      </c>
    </row>
    <row r="51" spans="1:15" x14ac:dyDescent="0.25">
      <c r="A51" t="str">
        <v>Female</v>
      </c>
      <c r="B51" s="15">
        <v>0.23183287709095979</v>
      </c>
      <c r="N51" s="17">
        <v>0.24580046742972819</v>
      </c>
      <c r="O51" s="17">
        <v>0.34288763100419523</v>
      </c>
    </row>
    <row r="52" spans="1:15" x14ac:dyDescent="0.25">
      <c r="A52" t="str">
        <v>Male</v>
      </c>
      <c r="B52" s="15">
        <v>0.28936177079024888</v>
      </c>
      <c r="N52" s="17">
        <v>0.23183287709095979</v>
      </c>
      <c r="O52" s="17">
        <v>0.26928534750742977</v>
      </c>
    </row>
    <row r="53" spans="1:15" x14ac:dyDescent="0.25">
      <c r="A53" t="str">
        <v>Male</v>
      </c>
      <c r="B53" s="15">
        <v>0.25439927348418562</v>
      </c>
    </row>
    <row r="54" spans="1:15" x14ac:dyDescent="0.25">
      <c r="A54" t="str">
        <v>Male</v>
      </c>
      <c r="B54" s="15">
        <v>0.21021883294682961</v>
      </c>
    </row>
    <row r="55" spans="1:15" x14ac:dyDescent="0.25">
      <c r="A55" t="str">
        <v>Male</v>
      </c>
      <c r="B55" s="15">
        <v>0.31072854455321491</v>
      </c>
    </row>
    <row r="56" spans="1:15" x14ac:dyDescent="0.25">
      <c r="A56" t="str">
        <v>Male</v>
      </c>
      <c r="B56" s="15">
        <v>0.27918051659162052</v>
      </c>
    </row>
    <row r="57" spans="1:15" x14ac:dyDescent="0.25">
      <c r="A57" t="str">
        <v>Male</v>
      </c>
      <c r="B57" s="15">
        <v>0.29895452589316301</v>
      </c>
    </row>
    <row r="58" spans="1:15" x14ac:dyDescent="0.25">
      <c r="A58" t="str">
        <v>Male</v>
      </c>
      <c r="B58" s="15">
        <v>0.25465478640020989</v>
      </c>
    </row>
    <row r="59" spans="1:15" x14ac:dyDescent="0.25">
      <c r="A59" t="str">
        <v>Male</v>
      </c>
      <c r="B59" s="15">
        <v>0.35719492828615568</v>
      </c>
    </row>
    <row r="60" spans="1:15" x14ac:dyDescent="0.25">
      <c r="A60" t="str">
        <v>Male</v>
      </c>
      <c r="B60" s="15">
        <v>0.31830109051492927</v>
      </c>
    </row>
    <row r="61" spans="1:15" x14ac:dyDescent="0.25">
      <c r="A61" t="str">
        <v>Male</v>
      </c>
      <c r="B61" s="15">
        <v>0.28515499329898969</v>
      </c>
    </row>
    <row r="62" spans="1:15" x14ac:dyDescent="0.25">
      <c r="A62" t="str">
        <v>Male</v>
      </c>
      <c r="B62" s="15">
        <v>0.25651376000433213</v>
      </c>
    </row>
    <row r="63" spans="1:15" x14ac:dyDescent="0.25">
      <c r="A63" t="str">
        <v>Male</v>
      </c>
      <c r="B63" s="15">
        <v>0.18294062777081871</v>
      </c>
    </row>
    <row r="64" spans="1:15" x14ac:dyDescent="0.25">
      <c r="A64" t="str">
        <v>Male</v>
      </c>
      <c r="B64" s="15">
        <v>0.22479924456866621</v>
      </c>
    </row>
    <row r="65" spans="1:2" x14ac:dyDescent="0.25">
      <c r="A65" t="str">
        <v>Male</v>
      </c>
      <c r="B65" s="15">
        <v>0.34981255561364211</v>
      </c>
    </row>
    <row r="66" spans="1:2" x14ac:dyDescent="0.25">
      <c r="A66" t="str">
        <v>Male</v>
      </c>
      <c r="B66" s="15">
        <v>0.2910865626887707</v>
      </c>
    </row>
    <row r="67" spans="1:2" x14ac:dyDescent="0.25">
      <c r="A67" t="str">
        <v>Male</v>
      </c>
      <c r="B67" s="15">
        <v>0.28087418717400608</v>
      </c>
    </row>
    <row r="68" spans="1:2" x14ac:dyDescent="0.25">
      <c r="A68" t="str">
        <v>Male</v>
      </c>
      <c r="B68" s="15">
        <v>0.3561087509382424</v>
      </c>
    </row>
    <row r="69" spans="1:2" x14ac:dyDescent="0.25">
      <c r="A69" t="str">
        <v>Male</v>
      </c>
      <c r="B69" s="15">
        <v>0.18955232651186979</v>
      </c>
    </row>
    <row r="70" spans="1:2" x14ac:dyDescent="0.25">
      <c r="A70" t="str">
        <v>Male</v>
      </c>
      <c r="B70" s="15">
        <v>0.24905707173957051</v>
      </c>
    </row>
    <row r="71" spans="1:2" x14ac:dyDescent="0.25">
      <c r="A71" t="str">
        <v>Male</v>
      </c>
      <c r="B71" s="15">
        <v>0.32331029713287818</v>
      </c>
    </row>
    <row r="72" spans="1:2" x14ac:dyDescent="0.25">
      <c r="A72" t="str">
        <v>Male</v>
      </c>
      <c r="B72" s="15">
        <v>0.41054204530787919</v>
      </c>
    </row>
    <row r="73" spans="1:2" x14ac:dyDescent="0.25">
      <c r="A73" t="str">
        <v>Male</v>
      </c>
      <c r="B73" s="15">
        <v>0.26813506639730089</v>
      </c>
    </row>
    <row r="74" spans="1:2" x14ac:dyDescent="0.25">
      <c r="A74" t="str">
        <v>Male</v>
      </c>
      <c r="B74" s="15">
        <v>0.36212322494095361</v>
      </c>
    </row>
    <row r="75" spans="1:2" x14ac:dyDescent="0.25">
      <c r="A75" t="str">
        <v>Male</v>
      </c>
      <c r="B75" s="15">
        <v>0.28336942798927012</v>
      </c>
    </row>
    <row r="76" spans="1:2" x14ac:dyDescent="0.25">
      <c r="A76" t="str">
        <v>Male</v>
      </c>
      <c r="B76" s="15">
        <v>0.30257537012267921</v>
      </c>
    </row>
    <row r="77" spans="1:2" x14ac:dyDescent="0.25">
      <c r="A77" t="str">
        <v>Male</v>
      </c>
      <c r="B77" s="15">
        <v>0.3718495870650842</v>
      </c>
    </row>
    <row r="78" spans="1:2" x14ac:dyDescent="0.25">
      <c r="A78" t="str">
        <v>Male</v>
      </c>
      <c r="B78" s="15">
        <v>0.28728976709457338</v>
      </c>
    </row>
    <row r="79" spans="1:2" x14ac:dyDescent="0.25">
      <c r="A79" t="str">
        <v>Male</v>
      </c>
      <c r="B79" s="15">
        <v>0.24060566113363149</v>
      </c>
    </row>
    <row r="80" spans="1:2" x14ac:dyDescent="0.25">
      <c r="A80" t="str">
        <v>Male</v>
      </c>
      <c r="B80" s="15">
        <v>0.33006229745372762</v>
      </c>
    </row>
    <row r="81" spans="1:2" x14ac:dyDescent="0.25">
      <c r="A81" t="str">
        <v>Male</v>
      </c>
      <c r="B81" s="15">
        <v>0.2743413460545816</v>
      </c>
    </row>
    <row r="82" spans="1:2" x14ac:dyDescent="0.25">
      <c r="A82" t="str">
        <v>Male</v>
      </c>
      <c r="B82" s="15">
        <v>0.19223505408993111</v>
      </c>
    </row>
    <row r="83" spans="1:2" x14ac:dyDescent="0.25">
      <c r="A83" t="str">
        <v>Male</v>
      </c>
      <c r="B83" s="15">
        <v>0.18679294537118299</v>
      </c>
    </row>
    <row r="84" spans="1:2" x14ac:dyDescent="0.25">
      <c r="A84" t="str">
        <v>Male</v>
      </c>
      <c r="B84" s="15">
        <v>0.25202637409654721</v>
      </c>
    </row>
    <row r="85" spans="1:2" x14ac:dyDescent="0.25">
      <c r="A85" t="str">
        <v>Male</v>
      </c>
      <c r="B85" s="15">
        <v>0.33292245175206381</v>
      </c>
    </row>
    <row r="86" spans="1:2" x14ac:dyDescent="0.25">
      <c r="A86" t="str">
        <v>Male</v>
      </c>
      <c r="B86" s="15">
        <v>0.30329966544333942</v>
      </c>
    </row>
    <row r="87" spans="1:2" x14ac:dyDescent="0.25">
      <c r="A87" t="str">
        <v>Male</v>
      </c>
      <c r="B87" s="15">
        <v>0.28948886558907888</v>
      </c>
    </row>
    <row r="88" spans="1:2" x14ac:dyDescent="0.25">
      <c r="A88" t="str">
        <v>Male</v>
      </c>
      <c r="B88" s="15">
        <v>0.29284631491392171</v>
      </c>
    </row>
    <row r="89" spans="1:2" x14ac:dyDescent="0.25">
      <c r="A89" t="str">
        <v>Male</v>
      </c>
      <c r="B89" s="15">
        <v>0.2248782794162171</v>
      </c>
    </row>
    <row r="90" spans="1:2" x14ac:dyDescent="0.25">
      <c r="A90" t="str">
        <v>Male</v>
      </c>
      <c r="B90" s="15">
        <v>0.19529177275776979</v>
      </c>
    </row>
    <row r="91" spans="1:2" x14ac:dyDescent="0.25">
      <c r="A91" t="str">
        <v>Male</v>
      </c>
      <c r="B91" s="15">
        <v>0.41063671974599147</v>
      </c>
    </row>
    <row r="92" spans="1:2" x14ac:dyDescent="0.25">
      <c r="A92" t="str">
        <v>Male</v>
      </c>
      <c r="B92" s="15">
        <v>0.28215109754040218</v>
      </c>
    </row>
    <row r="93" spans="1:2" x14ac:dyDescent="0.25">
      <c r="A93" t="str">
        <v>Male</v>
      </c>
      <c r="B93" s="15">
        <v>0.31094851703248888</v>
      </c>
    </row>
    <row r="94" spans="1:2" x14ac:dyDescent="0.25">
      <c r="A94" t="str">
        <v>Male</v>
      </c>
      <c r="B94" s="15">
        <v>0.39096878987349809</v>
      </c>
    </row>
    <row r="95" spans="1:2" x14ac:dyDescent="0.25">
      <c r="A95" t="str">
        <v>Male</v>
      </c>
      <c r="B95" s="15">
        <v>0.31869611368775308</v>
      </c>
    </row>
    <row r="96" spans="1:2" x14ac:dyDescent="0.25">
      <c r="A96" t="str">
        <v>Male</v>
      </c>
      <c r="B96" s="15">
        <v>0.21289820988431221</v>
      </c>
    </row>
    <row r="97" spans="1:2" x14ac:dyDescent="0.25">
      <c r="A97" t="str">
        <v>Male</v>
      </c>
      <c r="B97" s="15">
        <v>0.33856809984859187</v>
      </c>
    </row>
    <row r="98" spans="1:2" x14ac:dyDescent="0.25">
      <c r="A98" t="str">
        <v>Male</v>
      </c>
      <c r="B98" s="15">
        <v>0.24923385254589181</v>
      </c>
    </row>
    <row r="99" spans="1:2" x14ac:dyDescent="0.25">
      <c r="A99" t="str">
        <v>Male</v>
      </c>
      <c r="B99" s="15">
        <v>0.26977427974324081</v>
      </c>
    </row>
    <row r="100" spans="1:2" x14ac:dyDescent="0.25">
      <c r="A100" t="str">
        <v>Male</v>
      </c>
      <c r="B100" s="15">
        <v>0.34288763100419523</v>
      </c>
    </row>
    <row r="101" spans="1:2" x14ac:dyDescent="0.25">
      <c r="A101" t="str">
        <v>Male</v>
      </c>
      <c r="B101" s="15">
        <v>0.26928534750742977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L101"/>
  <sheetViews>
    <sheetView zoomScale="150" workbookViewId="0">
      <selection activeCell="I2" sqref="I2:L16"/>
    </sheetView>
  </sheetViews>
  <sheetFormatPr defaultColWidth="11.25" defaultRowHeight="15.75" x14ac:dyDescent="0.25"/>
  <cols>
    <col min="1" max="1" width="12.25" bestFit="1" customWidth="1"/>
    <col min="2" max="2" width="12.75" bestFit="1" customWidth="1"/>
    <col min="4" max="4" width="16.75" bestFit="1" customWidth="1"/>
    <col min="5" max="5" width="8.75" bestFit="1" customWidth="1"/>
    <col min="6" max="6" width="16.75" bestFit="1" customWidth="1"/>
    <col min="7" max="7" width="7.75" bestFit="1" customWidth="1"/>
  </cols>
  <sheetData>
    <row r="1" spans="1:12" ht="16.5" thickBot="1" x14ac:dyDescent="0.3">
      <c r="A1" s="5" t="str">
        <f>Data!J1</f>
        <v>Sales</v>
      </c>
      <c r="B1" s="5" t="str">
        <f>Data!K1</f>
        <v>Quantity Sold</v>
      </c>
      <c r="C1" s="1"/>
      <c r="D1" s="11" t="s">
        <v>46</v>
      </c>
      <c r="E1" s="11"/>
      <c r="F1" s="11" t="s">
        <v>47</v>
      </c>
      <c r="G1" s="8"/>
    </row>
    <row r="2" spans="1:12" x14ac:dyDescent="0.25">
      <c r="A2" s="1">
        <f>Data!J2</f>
        <v>886.1339798802187</v>
      </c>
      <c r="B2" s="1">
        <f>Data!K2</f>
        <v>22.67066139610537</v>
      </c>
      <c r="D2" s="9"/>
      <c r="E2" s="9"/>
      <c r="F2" s="9"/>
      <c r="G2" s="9"/>
      <c r="I2" s="14" t="s">
        <v>46</v>
      </c>
      <c r="J2" s="14"/>
      <c r="K2" s="14" t="s">
        <v>47</v>
      </c>
      <c r="L2" s="14"/>
    </row>
    <row r="3" spans="1:12" x14ac:dyDescent="0.25">
      <c r="A3" s="1">
        <f>Data!J3</f>
        <v>610.02358125508351</v>
      </c>
      <c r="B3" s="1">
        <f>Data!K3</f>
        <v>22.71292327512996</v>
      </c>
      <c r="D3" s="9" t="s">
        <v>50</v>
      </c>
      <c r="E3" s="9">
        <v>535.26928258528517</v>
      </c>
      <c r="F3" s="9" t="s">
        <v>50</v>
      </c>
      <c r="G3" s="9">
        <v>31.559208071450318</v>
      </c>
      <c r="I3" s="12"/>
      <c r="J3" s="12"/>
      <c r="K3" s="12"/>
      <c r="L3" s="12"/>
    </row>
    <row r="4" spans="1:12" x14ac:dyDescent="0.25">
      <c r="A4" s="1">
        <f>Data!J4</f>
        <v>576.61392133806294</v>
      </c>
      <c r="B4" s="1">
        <f>Data!K4</f>
        <v>32.112950746165673</v>
      </c>
      <c r="D4" s="9" t="s">
        <v>51</v>
      </c>
      <c r="E4" s="9">
        <v>15.823718386118008</v>
      </c>
      <c r="F4" s="9" t="s">
        <v>51</v>
      </c>
      <c r="G4" s="9">
        <v>0.67879561329422011</v>
      </c>
      <c r="I4" s="12" t="s">
        <v>50</v>
      </c>
      <c r="J4" s="12">
        <v>535.26928258528517</v>
      </c>
      <c r="K4" s="12" t="s">
        <v>50</v>
      </c>
      <c r="L4" s="12">
        <v>31.559208071450318</v>
      </c>
    </row>
    <row r="5" spans="1:12" x14ac:dyDescent="0.25">
      <c r="A5" s="1">
        <f>Data!J5</f>
        <v>372.90517238163818</v>
      </c>
      <c r="B5" s="1">
        <f>Data!K5</f>
        <v>32.509503541037532</v>
      </c>
      <c r="D5" s="9" t="s">
        <v>52</v>
      </c>
      <c r="E5" s="9">
        <v>522.46684856213619</v>
      </c>
      <c r="F5" s="9" t="s">
        <v>52</v>
      </c>
      <c r="G5" s="9">
        <v>32.317177280328835</v>
      </c>
      <c r="I5" s="12" t="s">
        <v>51</v>
      </c>
      <c r="J5" s="12">
        <v>15.823718386118008</v>
      </c>
      <c r="K5" s="12" t="s">
        <v>51</v>
      </c>
      <c r="L5" s="12">
        <v>0.67879561329422011</v>
      </c>
    </row>
    <row r="6" spans="1:12" x14ac:dyDescent="0.25">
      <c r="A6" s="1">
        <f>Data!J6</f>
        <v>413.90524534251369</v>
      </c>
      <c r="B6" s="1">
        <f>Data!K6</f>
        <v>22.800456610910508</v>
      </c>
      <c r="D6" s="9" t="s">
        <v>53</v>
      </c>
      <c r="E6" s="9">
        <v>619.41733832886609</v>
      </c>
      <c r="F6" s="9" t="s">
        <v>53</v>
      </c>
      <c r="G6" s="9">
        <v>25.659829377999021</v>
      </c>
      <c r="I6" s="12" t="s">
        <v>52</v>
      </c>
      <c r="J6" s="12">
        <v>522.46684856213619</v>
      </c>
      <c r="K6" s="12" t="s">
        <v>52</v>
      </c>
      <c r="L6" s="12">
        <v>32.317177280328835</v>
      </c>
    </row>
    <row r="7" spans="1:12" x14ac:dyDescent="0.25">
      <c r="A7" s="1">
        <f>Data!J7</f>
        <v>726.81693567394757</v>
      </c>
      <c r="B7" s="1">
        <f>Data!K7</f>
        <v>34.168209673514582</v>
      </c>
      <c r="D7" s="9" t="s">
        <v>54</v>
      </c>
      <c r="E7" s="9">
        <v>158.23718386118009</v>
      </c>
      <c r="F7" s="9" t="s">
        <v>54</v>
      </c>
      <c r="G7" s="9">
        <v>6.7879561329422016</v>
      </c>
      <c r="I7" s="12" t="s">
        <v>53</v>
      </c>
      <c r="J7" s="12">
        <v>619.41733832886609</v>
      </c>
      <c r="K7" s="12" t="s">
        <v>53</v>
      </c>
      <c r="L7" s="12">
        <v>25.659829377999021</v>
      </c>
    </row>
    <row r="8" spans="1:12" x14ac:dyDescent="0.25">
      <c r="A8" s="1">
        <f>Data!J8</f>
        <v>497.81317760107709</v>
      </c>
      <c r="B8" s="1">
        <f>Data!K8</f>
        <v>34.233542912614041</v>
      </c>
      <c r="D8" s="9" t="s">
        <v>55</v>
      </c>
      <c r="E8" s="9">
        <v>25039.00635631691</v>
      </c>
      <c r="F8" s="9" t="s">
        <v>55</v>
      </c>
      <c r="G8" s="9">
        <v>46.076348462747646</v>
      </c>
      <c r="I8" s="12" t="s">
        <v>54</v>
      </c>
      <c r="J8" s="12">
        <v>158.23718386118009</v>
      </c>
      <c r="K8" s="12" t="s">
        <v>54</v>
      </c>
      <c r="L8" s="12">
        <v>6.7879561329422016</v>
      </c>
    </row>
    <row r="9" spans="1:12" x14ac:dyDescent="0.25">
      <c r="A9" s="1">
        <f>Data!J9</f>
        <v>610.02358125508351</v>
      </c>
      <c r="B9" s="1">
        <f>Data!K9</f>
        <v>42.863547025446572</v>
      </c>
      <c r="D9" s="9" t="s">
        <v>56</v>
      </c>
      <c r="E9" s="9">
        <v>-0.11746249757267346</v>
      </c>
      <c r="F9" s="9" t="s">
        <v>56</v>
      </c>
      <c r="G9" s="9">
        <v>-0.84273838049556371</v>
      </c>
      <c r="I9" s="12" t="s">
        <v>55</v>
      </c>
      <c r="J9" s="12">
        <v>25039.00635631691</v>
      </c>
      <c r="K9" s="12" t="s">
        <v>55</v>
      </c>
      <c r="L9" s="12">
        <v>46.076348462747646</v>
      </c>
    </row>
    <row r="10" spans="1:12" x14ac:dyDescent="0.25">
      <c r="A10" s="1">
        <f>Data!J10</f>
        <v>291.05760965024848</v>
      </c>
      <c r="B10" s="1">
        <f>Data!K10</f>
        <v>19.701526021482589</v>
      </c>
      <c r="D10" s="9" t="s">
        <v>57</v>
      </c>
      <c r="E10" s="9">
        <v>0.23541228507435114</v>
      </c>
      <c r="F10" s="9" t="s">
        <v>57</v>
      </c>
      <c r="G10" s="9">
        <v>-8.1175098339238139E-2</v>
      </c>
      <c r="I10" s="12" t="s">
        <v>56</v>
      </c>
      <c r="J10" s="12">
        <v>-0.11746249757267346</v>
      </c>
      <c r="K10" s="12" t="s">
        <v>56</v>
      </c>
      <c r="L10" s="12">
        <v>-0.84273838049556371</v>
      </c>
    </row>
    <row r="11" spans="1:12" x14ac:dyDescent="0.25">
      <c r="A11" s="1">
        <f>Data!J11</f>
        <v>551.57500310812304</v>
      </c>
      <c r="B11" s="1">
        <f>Data!K11</f>
        <v>42.328424856528947</v>
      </c>
      <c r="D11" s="9" t="s">
        <v>58</v>
      </c>
      <c r="E11" s="9">
        <v>723.41166597325287</v>
      </c>
      <c r="F11" s="9" t="s">
        <v>58</v>
      </c>
      <c r="G11" s="9">
        <v>27.780162252491468</v>
      </c>
      <c r="I11" s="12" t="s">
        <v>57</v>
      </c>
      <c r="J11" s="12">
        <v>0.23541228507435114</v>
      </c>
      <c r="K11" s="12" t="s">
        <v>57</v>
      </c>
      <c r="L11" s="12">
        <v>-8.1175098339238139E-2</v>
      </c>
    </row>
    <row r="12" spans="1:12" x14ac:dyDescent="0.25">
      <c r="A12" s="1">
        <f>Data!J12</f>
        <v>252.880529766411</v>
      </c>
      <c r="B12" s="1">
        <f>Data!K12</f>
        <v>32.124851019620138</v>
      </c>
      <c r="D12" s="9" t="s">
        <v>59</v>
      </c>
      <c r="E12" s="9">
        <v>167.05152762488819</v>
      </c>
      <c r="F12" s="9" t="s">
        <v>59</v>
      </c>
      <c r="G12" s="9">
        <v>15.177312318503819</v>
      </c>
      <c r="I12" s="12" t="s">
        <v>58</v>
      </c>
      <c r="J12" s="12">
        <v>723.41166597325287</v>
      </c>
      <c r="K12" s="12" t="s">
        <v>58</v>
      </c>
      <c r="L12" s="12">
        <v>27.780162252491468</v>
      </c>
    </row>
    <row r="13" spans="1:12" x14ac:dyDescent="0.25">
      <c r="A13" s="1">
        <f>Data!J13</f>
        <v>521.92242249612491</v>
      </c>
      <c r="B13" s="1">
        <f>Data!K13</f>
        <v>27.640040591643441</v>
      </c>
      <c r="D13" s="9" t="s">
        <v>60</v>
      </c>
      <c r="E13" s="9">
        <v>890.46319359814106</v>
      </c>
      <c r="F13" s="9" t="s">
        <v>60</v>
      </c>
      <c r="G13" s="9">
        <v>42.957474570995288</v>
      </c>
      <c r="I13" s="12" t="s">
        <v>59</v>
      </c>
      <c r="J13" s="12">
        <v>167.05152762488819</v>
      </c>
      <c r="K13" s="12" t="s">
        <v>59</v>
      </c>
      <c r="L13" s="12">
        <v>15.177312318503819</v>
      </c>
    </row>
    <row r="14" spans="1:12" x14ac:dyDescent="0.25">
      <c r="A14" s="1">
        <f>Data!J14</f>
        <v>463.17255028533771</v>
      </c>
      <c r="B14" s="1">
        <f>Data!K14</f>
        <v>25.06958002405791</v>
      </c>
      <c r="D14" s="9" t="s">
        <v>61</v>
      </c>
      <c r="E14" s="9">
        <v>53526.928258528518</v>
      </c>
      <c r="F14" s="9" t="s">
        <v>61</v>
      </c>
      <c r="G14" s="9">
        <v>3155.9208071450316</v>
      </c>
      <c r="I14" s="12" t="s">
        <v>60</v>
      </c>
      <c r="J14" s="12">
        <v>890.46319359814106</v>
      </c>
      <c r="K14" s="12" t="s">
        <v>60</v>
      </c>
      <c r="L14" s="12">
        <v>42.957474570995288</v>
      </c>
    </row>
    <row r="15" spans="1:12" ht="16.5" thickBot="1" x14ac:dyDescent="0.3">
      <c r="A15" s="1">
        <f>Data!J15</f>
        <v>830.13369852249514</v>
      </c>
      <c r="B15" s="1">
        <f>Data!K15</f>
        <v>34.093862468973867</v>
      </c>
      <c r="D15" s="10" t="s">
        <v>62</v>
      </c>
      <c r="E15" s="10">
        <v>100</v>
      </c>
      <c r="F15" s="10" t="s">
        <v>62</v>
      </c>
      <c r="G15" s="10">
        <v>100</v>
      </c>
      <c r="I15" s="12" t="s">
        <v>61</v>
      </c>
      <c r="J15" s="12">
        <v>53526.928258528518</v>
      </c>
      <c r="K15" s="12" t="s">
        <v>61</v>
      </c>
      <c r="L15" s="12">
        <v>3155.9208071450316</v>
      </c>
    </row>
    <row r="16" spans="1:12" ht="16.5" thickBot="1" x14ac:dyDescent="0.3">
      <c r="A16" s="1">
        <f>Data!J16</f>
        <v>473.55217273725202</v>
      </c>
      <c r="B16" s="1">
        <f>Data!K16</f>
        <v>25.403001481665331</v>
      </c>
      <c r="I16" s="13" t="s">
        <v>62</v>
      </c>
      <c r="J16" s="13">
        <v>100</v>
      </c>
      <c r="K16" s="13" t="s">
        <v>62</v>
      </c>
      <c r="L16" s="13">
        <v>100</v>
      </c>
    </row>
    <row r="17" spans="1:2" x14ac:dyDescent="0.25">
      <c r="A17" s="1">
        <f>Data!J17</f>
        <v>375.22752388249648</v>
      </c>
      <c r="B17" s="1">
        <f>Data!K17</f>
        <v>32.509503541037532</v>
      </c>
    </row>
    <row r="18" spans="1:2" x14ac:dyDescent="0.25">
      <c r="A18" s="1">
        <f>Data!J18</f>
        <v>830.13369852249514</v>
      </c>
      <c r="B18" s="1">
        <f>Data!K18</f>
        <v>23.33189768406957</v>
      </c>
    </row>
    <row r="19" spans="1:2" x14ac:dyDescent="0.25">
      <c r="A19" s="1">
        <f>Data!J19</f>
        <v>557.79180936942089</v>
      </c>
      <c r="B19" s="1">
        <f>Data!K19</f>
        <v>29.54505596450246</v>
      </c>
    </row>
    <row r="20" spans="1:2" x14ac:dyDescent="0.25">
      <c r="A20" s="1">
        <f>Data!J20</f>
        <v>734.54360210915809</v>
      </c>
      <c r="B20" s="1">
        <f>Data!K20</f>
        <v>36.148044477110183</v>
      </c>
    </row>
    <row r="21" spans="1:2" x14ac:dyDescent="0.25">
      <c r="A21" s="1">
        <f>Data!J21</f>
        <v>708.1677590396705</v>
      </c>
      <c r="B21" s="1">
        <f>Data!K21</f>
        <v>36.462644721053408</v>
      </c>
    </row>
    <row r="22" spans="1:2" x14ac:dyDescent="0.25">
      <c r="A22" s="1">
        <f>Data!J22</f>
        <v>890.46319359814106</v>
      </c>
      <c r="B22" s="1">
        <f>Data!K22</f>
        <v>28.856357791851678</v>
      </c>
    </row>
    <row r="23" spans="1:2" x14ac:dyDescent="0.25">
      <c r="A23" s="1">
        <f>Data!J23</f>
        <v>421.88563910474119</v>
      </c>
      <c r="B23" s="1">
        <f>Data!K23</f>
        <v>24.258495432968651</v>
      </c>
    </row>
    <row r="24" spans="1:2" x14ac:dyDescent="0.25">
      <c r="A24" s="1">
        <f>Data!J24</f>
        <v>596.96015524763516</v>
      </c>
      <c r="B24" s="1">
        <f>Data!K24</f>
        <v>32.640044751077639</v>
      </c>
    </row>
    <row r="25" spans="1:2" x14ac:dyDescent="0.25">
      <c r="A25" s="1">
        <f>Data!J25</f>
        <v>696.81069761586082</v>
      </c>
      <c r="B25" s="1">
        <f>Data!K25</f>
        <v>36.329472046171738</v>
      </c>
    </row>
    <row r="26" spans="1:2" x14ac:dyDescent="0.25">
      <c r="A26" s="1">
        <f>Data!J26</f>
        <v>484.28885475832197</v>
      </c>
      <c r="B26" s="1">
        <f>Data!K26</f>
        <v>22.67066139610537</v>
      </c>
    </row>
    <row r="27" spans="1:2" x14ac:dyDescent="0.25">
      <c r="A27" s="1">
        <f>Data!J27</f>
        <v>496.06702576891882</v>
      </c>
      <c r="B27" s="1">
        <f>Data!K27</f>
        <v>26.6797836620513</v>
      </c>
    </row>
    <row r="28" spans="1:2" x14ac:dyDescent="0.25">
      <c r="A28" s="1">
        <f>Data!J28</f>
        <v>523.01127462814736</v>
      </c>
      <c r="B28" s="1">
        <f>Data!K28</f>
        <v>21.014939592383691</v>
      </c>
    </row>
    <row r="29" spans="1:2" x14ac:dyDescent="0.25">
      <c r="A29" s="1">
        <f>Data!J29</f>
        <v>830.13369852249514</v>
      </c>
      <c r="B29" s="1">
        <f>Data!K29</f>
        <v>42.819613509869228</v>
      </c>
    </row>
    <row r="30" spans="1:2" x14ac:dyDescent="0.25">
      <c r="A30" s="1">
        <f>Data!J30</f>
        <v>375.22752388249648</v>
      </c>
      <c r="B30" s="1">
        <f>Data!K30</f>
        <v>28.856357791851678</v>
      </c>
    </row>
    <row r="31" spans="1:2" x14ac:dyDescent="0.25">
      <c r="A31" s="1">
        <f>Data!J31</f>
        <v>504.65458741369969</v>
      </c>
      <c r="B31" s="1">
        <f>Data!K31</f>
        <v>36.13905882520546</v>
      </c>
    </row>
    <row r="32" spans="1:2" x14ac:dyDescent="0.25">
      <c r="A32" s="1">
        <f>Data!J32</f>
        <v>619.41733832886609</v>
      </c>
      <c r="B32" s="1">
        <f>Data!K32</f>
        <v>34.543963455210843</v>
      </c>
    </row>
    <row r="33" spans="1:2" x14ac:dyDescent="0.25">
      <c r="A33" s="1">
        <f>Data!J33</f>
        <v>521.92242249612491</v>
      </c>
      <c r="B33" s="1">
        <f>Data!K33</f>
        <v>21.014939592383691</v>
      </c>
    </row>
    <row r="34" spans="1:2" x14ac:dyDescent="0.25">
      <c r="A34" s="1">
        <f>Data!J34</f>
        <v>619.41733832886609</v>
      </c>
      <c r="B34" s="1">
        <f>Data!K34</f>
        <v>37.510906147376723</v>
      </c>
    </row>
    <row r="35" spans="1:2" x14ac:dyDescent="0.25">
      <c r="A35" s="1">
        <f>Data!J35</f>
        <v>648.04278931605404</v>
      </c>
      <c r="B35" s="1">
        <f>Data!K35</f>
        <v>35.349709305309297</v>
      </c>
    </row>
    <row r="36" spans="1:2" x14ac:dyDescent="0.25">
      <c r="A36" s="1">
        <f>Data!J36</f>
        <v>362.0806959925111</v>
      </c>
      <c r="B36" s="1">
        <f>Data!K36</f>
        <v>21.830429874465541</v>
      </c>
    </row>
    <row r="37" spans="1:2" x14ac:dyDescent="0.25">
      <c r="A37" s="1">
        <f>Data!J37</f>
        <v>551.57500310812304</v>
      </c>
      <c r="B37" s="1">
        <f>Data!K37</f>
        <v>29.002436397815529</v>
      </c>
    </row>
    <row r="38" spans="1:2" x14ac:dyDescent="0.25">
      <c r="A38" s="1">
        <f>Data!J38</f>
        <v>551.57500310812304</v>
      </c>
      <c r="B38" s="1">
        <f>Data!K38</f>
        <v>39.870098609562831</v>
      </c>
    </row>
    <row r="39" spans="1:2" x14ac:dyDescent="0.25">
      <c r="A39" s="1">
        <f>Data!J39</f>
        <v>403.40831801853841</v>
      </c>
      <c r="B39" s="1">
        <f>Data!K39</f>
        <v>22.71292327512996</v>
      </c>
    </row>
    <row r="40" spans="1:2" x14ac:dyDescent="0.25">
      <c r="A40" s="1">
        <f>Data!J40</f>
        <v>726.81693567394757</v>
      </c>
      <c r="B40" s="1">
        <f>Data!K40</f>
        <v>42.328424856528947</v>
      </c>
    </row>
    <row r="41" spans="1:2" x14ac:dyDescent="0.25">
      <c r="A41" s="1">
        <f>Data!J41</f>
        <v>664.15565877204904</v>
      </c>
      <c r="B41" s="1">
        <f>Data!K41</f>
        <v>35.712204079351267</v>
      </c>
    </row>
    <row r="42" spans="1:2" x14ac:dyDescent="0.25">
      <c r="A42" s="1">
        <f>Data!J42</f>
        <v>569.036813905543</v>
      </c>
      <c r="B42" s="1">
        <f>Data!K42</f>
        <v>42.863547025446572</v>
      </c>
    </row>
    <row r="43" spans="1:2" x14ac:dyDescent="0.25">
      <c r="A43" s="1">
        <f>Data!J43</f>
        <v>773.23782906934002</v>
      </c>
      <c r="B43" s="1">
        <f>Data!K43</f>
        <v>41.422284810995777</v>
      </c>
    </row>
    <row r="44" spans="1:2" x14ac:dyDescent="0.25">
      <c r="A44" s="1">
        <f>Data!J44</f>
        <v>603.45495957616026</v>
      </c>
      <c r="B44" s="1">
        <f>Data!K44</f>
        <v>34.233542912614041</v>
      </c>
    </row>
    <row r="45" spans="1:2" x14ac:dyDescent="0.25">
      <c r="A45" s="1">
        <f>Data!J45</f>
        <v>307.91532286630729</v>
      </c>
      <c r="B45" s="1">
        <f>Data!K45</f>
        <v>34.093862468973867</v>
      </c>
    </row>
    <row r="46" spans="1:2" x14ac:dyDescent="0.25">
      <c r="A46" s="1">
        <f>Data!J46</f>
        <v>519.22626043512992</v>
      </c>
      <c r="B46" s="1">
        <f>Data!K46</f>
        <v>27.242540128268349</v>
      </c>
    </row>
    <row r="47" spans="1:2" x14ac:dyDescent="0.25">
      <c r="A47" s="1">
        <f>Data!J47</f>
        <v>389.38710677341862</v>
      </c>
      <c r="B47" s="1">
        <f>Data!K47</f>
        <v>32.124851019620138</v>
      </c>
    </row>
    <row r="48" spans="1:2" x14ac:dyDescent="0.25">
      <c r="A48" s="1">
        <f>Data!J48</f>
        <v>521.92242249612491</v>
      </c>
      <c r="B48" s="1">
        <f>Data!K48</f>
        <v>28.61134162948003</v>
      </c>
    </row>
    <row r="49" spans="1:2" x14ac:dyDescent="0.25">
      <c r="A49" s="1">
        <f>Data!J49</f>
        <v>167.05152762488819</v>
      </c>
      <c r="B49" s="1">
        <f>Data!K49</f>
        <v>15.177312318503819</v>
      </c>
    </row>
    <row r="50" spans="1:2" x14ac:dyDescent="0.25">
      <c r="A50" s="1">
        <f>Data!J50</f>
        <v>447.27848635895299</v>
      </c>
      <c r="B50" s="1">
        <f>Data!K50</f>
        <v>24.86722617036456</v>
      </c>
    </row>
    <row r="51" spans="1:2" x14ac:dyDescent="0.25">
      <c r="A51" s="1">
        <f>Data!J51</f>
        <v>419.38042762271778</v>
      </c>
      <c r="B51" s="1">
        <f>Data!K51</f>
        <v>36.13905882520546</v>
      </c>
    </row>
    <row r="52" spans="1:2" x14ac:dyDescent="0.25">
      <c r="A52" s="1">
        <f>Data!J52</f>
        <v>619.41733832886609</v>
      </c>
      <c r="B52" s="1">
        <f>Data!K52</f>
        <v>36.148044477110183</v>
      </c>
    </row>
    <row r="53" spans="1:2" x14ac:dyDescent="0.25">
      <c r="A53" s="1">
        <f>Data!J53</f>
        <v>449.13093283360729</v>
      </c>
      <c r="B53" s="1">
        <f>Data!K53</f>
        <v>25.659829377999021</v>
      </c>
    </row>
    <row r="54" spans="1:2" x14ac:dyDescent="0.25">
      <c r="A54" s="1">
        <f>Data!J54</f>
        <v>364.7761269469521</v>
      </c>
      <c r="B54" s="1">
        <f>Data!K54</f>
        <v>22.17917729923893</v>
      </c>
    </row>
    <row r="55" spans="1:2" x14ac:dyDescent="0.25">
      <c r="A55" s="1">
        <f>Data!J55</f>
        <v>449.13093283360729</v>
      </c>
      <c r="B55" s="1">
        <f>Data!K55</f>
        <v>34.168209673514582</v>
      </c>
    </row>
    <row r="56" spans="1:2" x14ac:dyDescent="0.25">
      <c r="A56" s="1">
        <f>Data!J56</f>
        <v>545.77266574920179</v>
      </c>
      <c r="B56" s="1">
        <f>Data!K56</f>
        <v>28.966599379394442</v>
      </c>
    </row>
    <row r="57" spans="1:2" x14ac:dyDescent="0.25">
      <c r="A57" s="1">
        <f>Data!J57</f>
        <v>600.05114910613997</v>
      </c>
      <c r="B57" s="1">
        <f>Data!K57</f>
        <v>37.920198615682011</v>
      </c>
    </row>
    <row r="58" spans="1:2" x14ac:dyDescent="0.25">
      <c r="A58" s="1">
        <f>Data!J58</f>
        <v>491.90097738880718</v>
      </c>
      <c r="B58" s="1">
        <f>Data!K58</f>
        <v>34.509555299643331</v>
      </c>
    </row>
    <row r="59" spans="1:2" x14ac:dyDescent="0.25">
      <c r="A59" s="1">
        <f>Data!J59</f>
        <v>734.54360210915809</v>
      </c>
      <c r="B59" s="1">
        <f>Data!K59</f>
        <v>38.91018632957595</v>
      </c>
    </row>
    <row r="60" spans="1:2" x14ac:dyDescent="0.25">
      <c r="A60" s="1">
        <f>Data!J60</f>
        <v>614.24978057956264</v>
      </c>
      <c r="B60" s="1">
        <f>Data!K60</f>
        <v>34.481965046749572</v>
      </c>
    </row>
    <row r="61" spans="1:2" x14ac:dyDescent="0.25">
      <c r="A61" s="1">
        <f>Data!J61</f>
        <v>696.81069761586082</v>
      </c>
      <c r="B61" s="1">
        <f>Data!K61</f>
        <v>30.21220372182901</v>
      </c>
    </row>
    <row r="62" spans="1:2" x14ac:dyDescent="0.25">
      <c r="A62" s="1">
        <f>Data!J62</f>
        <v>495.58882510192927</v>
      </c>
      <c r="B62" s="1">
        <f>Data!K62</f>
        <v>25.761026144140789</v>
      </c>
    </row>
    <row r="63" spans="1:2" x14ac:dyDescent="0.25">
      <c r="A63" s="1">
        <f>Data!J63</f>
        <v>294.05947140624812</v>
      </c>
      <c r="B63" s="1">
        <f>Data!K63</f>
        <v>42.450393069510469</v>
      </c>
    </row>
    <row r="64" spans="1:2" x14ac:dyDescent="0.25">
      <c r="A64" s="1">
        <f>Data!J64</f>
        <v>415.68001582094871</v>
      </c>
      <c r="B64" s="1">
        <f>Data!K64</f>
        <v>23.1050477214369</v>
      </c>
    </row>
    <row r="65" spans="1:2" x14ac:dyDescent="0.25">
      <c r="A65" s="1">
        <f>Data!J65</f>
        <v>720.91010268149512</v>
      </c>
      <c r="B65" s="1">
        <f>Data!K65</f>
        <v>37.446775253972348</v>
      </c>
    </row>
    <row r="66" spans="1:2" x14ac:dyDescent="0.25">
      <c r="A66" s="1">
        <f>Data!J66</f>
        <v>573.45234536559701</v>
      </c>
      <c r="B66" s="1">
        <f>Data!K66</f>
        <v>31.988254494707039</v>
      </c>
    </row>
    <row r="67" spans="1:2" x14ac:dyDescent="0.25">
      <c r="A67" s="1">
        <f>Data!J67</f>
        <v>545.77266574920179</v>
      </c>
      <c r="B67" s="1">
        <f>Data!K67</f>
        <v>42.957474570995288</v>
      </c>
    </row>
    <row r="68" spans="1:2" x14ac:dyDescent="0.25">
      <c r="A68" s="1">
        <f>Data!J68</f>
        <v>610.02358125508351</v>
      </c>
      <c r="B68" s="1">
        <f>Data!K68</f>
        <v>37.920198615682011</v>
      </c>
    </row>
    <row r="69" spans="1:2" x14ac:dyDescent="0.25">
      <c r="A69" s="1">
        <f>Data!J69</f>
        <v>307.91532286630729</v>
      </c>
      <c r="B69" s="1">
        <f>Data!K69</f>
        <v>28.213310860324128</v>
      </c>
    </row>
    <row r="70" spans="1:2" x14ac:dyDescent="0.25">
      <c r="A70" s="1">
        <f>Data!J70</f>
        <v>449.13093283360729</v>
      </c>
      <c r="B70" s="1">
        <f>Data!K70</f>
        <v>42.450393069510469</v>
      </c>
    </row>
    <row r="71" spans="1:2" x14ac:dyDescent="0.25">
      <c r="A71" s="1">
        <f>Data!J71</f>
        <v>252.880529766411</v>
      </c>
      <c r="B71" s="1">
        <f>Data!K71</f>
        <v>35.14527034142445</v>
      </c>
    </row>
    <row r="72" spans="1:2" x14ac:dyDescent="0.25">
      <c r="A72" s="1">
        <f>Data!J72</f>
        <v>447.27848635895299</v>
      </c>
      <c r="B72" s="1">
        <f>Data!K72</f>
        <v>42.957474570995288</v>
      </c>
    </row>
    <row r="73" spans="1:2" x14ac:dyDescent="0.25">
      <c r="A73" s="1">
        <f>Data!J73</f>
        <v>503.2671201808941</v>
      </c>
      <c r="B73" s="1">
        <f>Data!K73</f>
        <v>26.96311664321771</v>
      </c>
    </row>
    <row r="74" spans="1:2" x14ac:dyDescent="0.25">
      <c r="A74" s="1">
        <f>Data!J74</f>
        <v>291.05760965024848</v>
      </c>
      <c r="B74" s="1">
        <f>Data!K74</f>
        <v>30.21220372182901</v>
      </c>
    </row>
    <row r="75" spans="1:2" x14ac:dyDescent="0.25">
      <c r="A75" s="1">
        <f>Data!J75</f>
        <v>559.97758335747517</v>
      </c>
      <c r="B75" s="1">
        <f>Data!K75</f>
        <v>30.116527726833709</v>
      </c>
    </row>
    <row r="76" spans="1:2" x14ac:dyDescent="0.25">
      <c r="A76" s="1">
        <f>Data!J76</f>
        <v>606.72437794032601</v>
      </c>
      <c r="B76" s="1">
        <f>Data!K76</f>
        <v>33.488511070211693</v>
      </c>
    </row>
    <row r="77" spans="1:2" x14ac:dyDescent="0.25">
      <c r="A77" s="1">
        <f>Data!J77</f>
        <v>504.65458741369969</v>
      </c>
      <c r="B77" s="1">
        <f>Data!K77</f>
        <v>42.450393069510469</v>
      </c>
    </row>
    <row r="78" spans="1:2" x14ac:dyDescent="0.25">
      <c r="A78" s="1">
        <f>Data!J78</f>
        <v>569.036813905543</v>
      </c>
      <c r="B78" s="1">
        <f>Data!K78</f>
        <v>37.510906147376723</v>
      </c>
    </row>
    <row r="79" spans="1:2" x14ac:dyDescent="0.25">
      <c r="A79" s="1">
        <f>Data!J79</f>
        <v>438.67524693903368</v>
      </c>
      <c r="B79" s="1">
        <f>Data!K79</f>
        <v>25.659829377999021</v>
      </c>
    </row>
    <row r="80" spans="1:2" x14ac:dyDescent="0.25">
      <c r="A80" s="1">
        <f>Data!J80</f>
        <v>497.81317760107709</v>
      </c>
      <c r="B80" s="1">
        <f>Data!K80</f>
        <v>28.213310860324128</v>
      </c>
    </row>
    <row r="81" spans="1:2" x14ac:dyDescent="0.25">
      <c r="A81" s="1">
        <f>Data!J81</f>
        <v>523.01127462814736</v>
      </c>
      <c r="B81" s="1">
        <f>Data!K81</f>
        <v>32.509503541037532</v>
      </c>
    </row>
    <row r="82" spans="1:2" x14ac:dyDescent="0.25">
      <c r="A82" s="1">
        <f>Data!J82</f>
        <v>319.56344705841639</v>
      </c>
      <c r="B82" s="1">
        <f>Data!K82</f>
        <v>42.863547025446572</v>
      </c>
    </row>
    <row r="83" spans="1:2" x14ac:dyDescent="0.25">
      <c r="A83" s="1">
        <f>Data!J83</f>
        <v>305.47024795509333</v>
      </c>
      <c r="B83" s="1">
        <f>Data!K83</f>
        <v>20.833658043879868</v>
      </c>
    </row>
    <row r="84" spans="1:2" x14ac:dyDescent="0.25">
      <c r="A84" s="1">
        <f>Data!J84</f>
        <v>473.37922936466907</v>
      </c>
      <c r="B84" s="1">
        <f>Data!K84</f>
        <v>25.369547601790899</v>
      </c>
    </row>
    <row r="85" spans="1:2" x14ac:dyDescent="0.25">
      <c r="A85" s="1">
        <f>Data!J85</f>
        <v>659.36358432663053</v>
      </c>
      <c r="B85" s="1">
        <f>Data!K85</f>
        <v>35.629086509343651</v>
      </c>
    </row>
    <row r="86" spans="1:2" x14ac:dyDescent="0.25">
      <c r="A86" s="1">
        <f>Data!J86</f>
        <v>608.0353746788893</v>
      </c>
      <c r="B86" s="1">
        <f>Data!K86</f>
        <v>33.594994608612112</v>
      </c>
    </row>
    <row r="87" spans="1:2" x14ac:dyDescent="0.25">
      <c r="A87" s="1">
        <f>Data!J87</f>
        <v>573.24211385453748</v>
      </c>
      <c r="B87" s="1">
        <f>Data!K87</f>
        <v>31.780339128994552</v>
      </c>
    </row>
    <row r="88" spans="1:2" x14ac:dyDescent="0.25">
      <c r="A88" s="1">
        <f>Data!J88</f>
        <v>581.24124671152902</v>
      </c>
      <c r="B88" s="1">
        <f>Data!K88</f>
        <v>32.124851019620138</v>
      </c>
    </row>
    <row r="89" spans="1:2" x14ac:dyDescent="0.25">
      <c r="A89" s="1">
        <f>Data!J89</f>
        <v>545.77266574920179</v>
      </c>
      <c r="B89" s="1">
        <f>Data!K89</f>
        <v>28.61134162948003</v>
      </c>
    </row>
    <row r="90" spans="1:2" x14ac:dyDescent="0.25">
      <c r="A90" s="1">
        <f>Data!J90</f>
        <v>886.1339798802187</v>
      </c>
      <c r="B90" s="1">
        <f>Data!K90</f>
        <v>21.380953935177011</v>
      </c>
    </row>
    <row r="91" spans="1:2" x14ac:dyDescent="0.25">
      <c r="A91" s="1">
        <f>Data!J91</f>
        <v>886.1339798802187</v>
      </c>
      <c r="B91" s="1">
        <f>Data!K91</f>
        <v>28.856357791851678</v>
      </c>
    </row>
    <row r="92" spans="1:2" x14ac:dyDescent="0.25">
      <c r="A92" s="1">
        <f>Data!J92</f>
        <v>558.42480133446179</v>
      </c>
      <c r="B92" s="1">
        <f>Data!K92</f>
        <v>22.71292327512996</v>
      </c>
    </row>
    <row r="93" spans="1:2" x14ac:dyDescent="0.25">
      <c r="A93" s="1">
        <f>Data!J93</f>
        <v>252.880529766411</v>
      </c>
      <c r="B93" s="1">
        <f>Data!K93</f>
        <v>34.233542912614041</v>
      </c>
    </row>
    <row r="94" spans="1:2" x14ac:dyDescent="0.25">
      <c r="A94" s="1">
        <f>Data!J94</f>
        <v>817.8805740858752</v>
      </c>
      <c r="B94" s="1">
        <f>Data!K94</f>
        <v>35.14527034142445</v>
      </c>
    </row>
    <row r="95" spans="1:2" x14ac:dyDescent="0.25">
      <c r="A95" s="1">
        <f>Data!J95</f>
        <v>518.08895796790466</v>
      </c>
      <c r="B95" s="1">
        <f>Data!K95</f>
        <v>34.509555299643331</v>
      </c>
    </row>
    <row r="96" spans="1:2" x14ac:dyDescent="0.25">
      <c r="A96" s="1">
        <f>Data!J96</f>
        <v>375.22752388249648</v>
      </c>
      <c r="B96" s="1">
        <f>Data!K96</f>
        <v>21.380953935177011</v>
      </c>
    </row>
    <row r="97" spans="1:2" x14ac:dyDescent="0.25">
      <c r="A97" s="1">
        <f>Data!J97</f>
        <v>291.05760965024848</v>
      </c>
      <c r="B97" s="1">
        <f>Data!K97</f>
        <v>39.870098609562831</v>
      </c>
    </row>
    <row r="98" spans="1:2" x14ac:dyDescent="0.25">
      <c r="A98" s="1">
        <f>Data!J98</f>
        <v>454.85168594785551</v>
      </c>
      <c r="B98" s="1">
        <f>Data!K98</f>
        <v>21.380953935177011</v>
      </c>
    </row>
    <row r="99" spans="1:2" x14ac:dyDescent="0.25">
      <c r="A99" s="1">
        <f>Data!J99</f>
        <v>518.08895796790466</v>
      </c>
      <c r="B99" s="1">
        <f>Data!K99</f>
        <v>37.920198615682011</v>
      </c>
    </row>
    <row r="100" spans="1:2" x14ac:dyDescent="0.25">
      <c r="A100" s="1">
        <f>Data!J100</f>
        <v>734.54360210915809</v>
      </c>
      <c r="B100" s="1">
        <f>Data!K100</f>
        <v>36.040297721835898</v>
      </c>
    </row>
    <row r="101" spans="1:2" x14ac:dyDescent="0.25">
      <c r="A101" s="1">
        <f>Data!J101</f>
        <v>504.65458741369969</v>
      </c>
      <c r="B101" s="1">
        <f>Data!K101</f>
        <v>25.659829377999021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Sheet2</vt:lpstr>
      <vt:lpstr>ANOVA</vt:lpstr>
      <vt:lpstr>correlation</vt:lpstr>
      <vt:lpstr>pivot table</vt:lpstr>
      <vt:lpstr>pivot table chart</vt:lpstr>
      <vt:lpstr>dashboard</vt:lpstr>
      <vt:lpstr>Linear regression</vt:lpstr>
      <vt:lpstr>t-test</vt:lpstr>
      <vt:lpstr>Descriptive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Erioluwa</cp:lastModifiedBy>
  <dcterms:created xsi:type="dcterms:W3CDTF">2024-02-28T12:51:25Z</dcterms:created>
  <dcterms:modified xsi:type="dcterms:W3CDTF">2026-08-19T09:28:59Z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